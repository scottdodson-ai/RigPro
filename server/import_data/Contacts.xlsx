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d3877da944bb17/Desktop/"/>
    </mc:Choice>
  </mc:AlternateContent>
  <xr:revisionPtr revIDLastSave="0" documentId="8_{D681839D-5BD1-461F-AA3D-378C28F4E1EB}" xr6:coauthVersionLast="47" xr6:coauthVersionMax="47" xr10:uidLastSave="{00000000-0000-0000-0000-000000000000}"/>
  <bookViews>
    <workbookView xWindow="14295" yWindow="0" windowWidth="14610" windowHeight="15585" xr2:uid="{0FF7704C-D501-4C77-B5F1-0B76AEBE0B91}"/>
  </bookViews>
  <sheets>
    <sheet name="Good Contacts-acutal customers" sheetId="1" r:id="rId1"/>
    <sheet name="Prospects" sheetId="2" r:id="rId2"/>
  </sheets>
  <externalReferences>
    <externalReference r:id="rId3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5" i="2" l="1" a="1"/>
  <c r="E635" i="2" s="1"/>
  <c r="C635" i="2"/>
  <c r="E634" i="2" a="1"/>
  <c r="E634" i="2" s="1"/>
  <c r="C634" i="2"/>
  <c r="E633" i="2" a="1"/>
  <c r="E633" i="2" s="1"/>
  <c r="C633" i="2"/>
  <c r="E632" i="2" a="1"/>
  <c r="E632" i="2" s="1"/>
  <c r="C632" i="2"/>
  <c r="E631" i="2" a="1"/>
  <c r="E631" i="2" s="1"/>
  <c r="C631" i="2"/>
  <c r="E630" i="2" a="1"/>
  <c r="E630" i="2" s="1"/>
  <c r="C630" i="2"/>
  <c r="E629" i="2"/>
  <c r="E629" i="2" a="1"/>
  <c r="C629" i="2"/>
  <c r="E628" i="2" a="1"/>
  <c r="E628" i="2" s="1"/>
  <c r="C628" i="2"/>
  <c r="E627" i="2" a="1"/>
  <c r="E627" i="2" s="1"/>
  <c r="C627" i="2"/>
  <c r="E626" i="2" a="1"/>
  <c r="E626" i="2" s="1"/>
  <c r="C626" i="2"/>
  <c r="E625" i="2" a="1"/>
  <c r="E625" i="2" s="1"/>
  <c r="C625" i="2"/>
  <c r="E624" i="2" a="1"/>
  <c r="E624" i="2" s="1"/>
  <c r="C624" i="2"/>
  <c r="E623" i="2" a="1"/>
  <c r="E623" i="2" s="1"/>
  <c r="C623" i="2"/>
  <c r="E622" i="2"/>
  <c r="E622" i="2" a="1"/>
  <c r="C622" i="2"/>
  <c r="E621" i="2"/>
  <c r="E621" i="2" a="1"/>
  <c r="C621" i="2"/>
  <c r="E620" i="2" a="1"/>
  <c r="E620" i="2" s="1"/>
  <c r="C620" i="2"/>
  <c r="E619" i="2"/>
  <c r="E619" i="2" a="1"/>
  <c r="C619" i="2"/>
  <c r="E618" i="2" a="1"/>
  <c r="E618" i="2" s="1"/>
  <c r="C618" i="2"/>
  <c r="E617" i="2"/>
  <c r="E617" i="2" a="1"/>
  <c r="C617" i="2"/>
  <c r="E616" i="2" a="1"/>
  <c r="E616" i="2" s="1"/>
  <c r="C616" i="2"/>
  <c r="E615" i="2" a="1"/>
  <c r="E615" i="2" s="1"/>
  <c r="C615" i="2"/>
  <c r="E614" i="2" a="1"/>
  <c r="E614" i="2" s="1"/>
  <c r="C614" i="2"/>
  <c r="E613" i="2" a="1"/>
  <c r="E613" i="2" s="1"/>
  <c r="C613" i="2"/>
  <c r="E612" i="2" a="1"/>
  <c r="E612" i="2" s="1"/>
  <c r="C612" i="2"/>
  <c r="E611" i="2" a="1"/>
  <c r="E611" i="2" s="1"/>
  <c r="C611" i="2"/>
  <c r="E610" i="2" a="1"/>
  <c r="E610" i="2" s="1"/>
  <c r="C610" i="2"/>
  <c r="E609" i="2"/>
  <c r="E609" i="2" a="1"/>
  <c r="C609" i="2"/>
  <c r="E608" i="2" a="1"/>
  <c r="E608" i="2" s="1"/>
  <c r="C608" i="2"/>
  <c r="E607" i="2" a="1"/>
  <c r="E607" i="2" s="1"/>
  <c r="C607" i="2"/>
  <c r="E606" i="2" a="1"/>
  <c r="E606" i="2" s="1"/>
  <c r="C606" i="2"/>
  <c r="E605" i="2"/>
  <c r="E605" i="2" a="1"/>
  <c r="C605" i="2"/>
  <c r="E604" i="2" a="1"/>
  <c r="E604" i="2" s="1"/>
  <c r="C604" i="2"/>
  <c r="E603" i="2" a="1"/>
  <c r="E603" i="2" s="1"/>
  <c r="C603" i="2"/>
  <c r="E602" i="2"/>
  <c r="E602" i="2" a="1"/>
  <c r="C602" i="2"/>
  <c r="E601" i="2" a="1"/>
  <c r="E601" i="2" s="1"/>
  <c r="C601" i="2"/>
  <c r="E600" i="2" a="1"/>
  <c r="E600" i="2" s="1"/>
  <c r="C600" i="2"/>
  <c r="E599" i="2"/>
  <c r="E599" i="2" a="1"/>
  <c r="C599" i="2"/>
  <c r="E598" i="2" a="1"/>
  <c r="E598" i="2" s="1"/>
  <c r="C598" i="2"/>
  <c r="E597" i="2"/>
  <c r="E597" i="2" a="1"/>
  <c r="C597" i="2"/>
  <c r="E596" i="2" a="1"/>
  <c r="E596" i="2" s="1"/>
  <c r="C596" i="2"/>
  <c r="E595" i="2" a="1"/>
  <c r="E595" i="2" s="1"/>
  <c r="C595" i="2"/>
  <c r="E594" i="2"/>
  <c r="E594" i="2" a="1"/>
  <c r="C594" i="2"/>
  <c r="E593" i="2" a="1"/>
  <c r="E593" i="2" s="1"/>
  <c r="C593" i="2"/>
  <c r="E592" i="2" a="1"/>
  <c r="E592" i="2" s="1"/>
  <c r="C592" i="2"/>
  <c r="E591" i="2" a="1"/>
  <c r="E591" i="2" s="1"/>
  <c r="C591" i="2"/>
  <c r="E590" i="2" a="1"/>
  <c r="E590" i="2" s="1"/>
  <c r="C590" i="2"/>
  <c r="E589" i="2"/>
  <c r="E589" i="2" a="1"/>
  <c r="C589" i="2"/>
  <c r="E588" i="2" a="1"/>
  <c r="E588" i="2" s="1"/>
  <c r="C588" i="2"/>
  <c r="E587" i="2" a="1"/>
  <c r="E587" i="2" s="1"/>
  <c r="C587" i="2"/>
  <c r="E586" i="2" a="1"/>
  <c r="E586" i="2" s="1"/>
  <c r="C586" i="2"/>
  <c r="E585" i="2"/>
  <c r="E585" i="2" a="1"/>
  <c r="C585" i="2"/>
  <c r="E584" i="2" a="1"/>
  <c r="E584" i="2" s="1"/>
  <c r="C584" i="2"/>
  <c r="E583" i="2" a="1"/>
  <c r="E583" i="2" s="1"/>
  <c r="C583" i="2"/>
  <c r="E582" i="2"/>
  <c r="E582" i="2" a="1"/>
  <c r="C582" i="2"/>
  <c r="E581" i="2" a="1"/>
  <c r="E581" i="2" s="1"/>
  <c r="C581" i="2"/>
  <c r="E580" i="2" a="1"/>
  <c r="E580" i="2" s="1"/>
  <c r="C580" i="2"/>
  <c r="E579" i="2"/>
  <c r="E579" i="2" a="1"/>
  <c r="C579" i="2"/>
  <c r="E578" i="2" a="1"/>
  <c r="E578" i="2" s="1"/>
  <c r="C578" i="2"/>
  <c r="E577" i="2"/>
  <c r="E577" i="2" a="1"/>
  <c r="C577" i="2"/>
  <c r="E576" i="2" a="1"/>
  <c r="E576" i="2" s="1"/>
  <c r="C576" i="2"/>
  <c r="E575" i="2" a="1"/>
  <c r="E575" i="2" s="1"/>
  <c r="C575" i="2"/>
  <c r="E574" i="2"/>
  <c r="E574" i="2" a="1"/>
  <c r="C574" i="2"/>
  <c r="E573" i="2" a="1"/>
  <c r="E573" i="2" s="1"/>
  <c r="C573" i="2"/>
  <c r="E572" i="2" a="1"/>
  <c r="E572" i="2" s="1"/>
  <c r="C572" i="2"/>
  <c r="E571" i="2" a="1"/>
  <c r="E571" i="2" s="1"/>
  <c r="C571" i="2"/>
  <c r="E570" i="2"/>
  <c r="E570" i="2" a="1"/>
  <c r="C570" i="2"/>
  <c r="E569" i="2"/>
  <c r="E569" i="2" a="1"/>
  <c r="C569" i="2"/>
  <c r="E568" i="2" a="1"/>
  <c r="E568" i="2" s="1"/>
  <c r="C568" i="2"/>
  <c r="E567" i="2" a="1"/>
  <c r="E567" i="2" s="1"/>
  <c r="C567" i="2"/>
  <c r="E566" i="2" a="1"/>
  <c r="E566" i="2" s="1"/>
  <c r="C566" i="2"/>
  <c r="E565" i="2"/>
  <c r="E565" i="2" a="1"/>
  <c r="C565" i="2"/>
  <c r="E564" i="2" a="1"/>
  <c r="E564" i="2" s="1"/>
  <c r="C564" i="2"/>
  <c r="E563" i="2" a="1"/>
  <c r="E563" i="2" s="1"/>
  <c r="C563" i="2"/>
  <c r="E562" i="2"/>
  <c r="E562" i="2" a="1"/>
  <c r="C562" i="2"/>
  <c r="E561" i="2" a="1"/>
  <c r="E561" i="2" s="1"/>
  <c r="C561" i="2"/>
  <c r="E560" i="2" a="1"/>
  <c r="E560" i="2" s="1"/>
  <c r="C560" i="2"/>
  <c r="E559" i="2"/>
  <c r="E559" i="2" a="1"/>
  <c r="C559" i="2"/>
  <c r="E558" i="2" a="1"/>
  <c r="E558" i="2" s="1"/>
  <c r="C558" i="2"/>
  <c r="E557" i="2"/>
  <c r="E557" i="2" a="1"/>
  <c r="C557" i="2"/>
  <c r="E556" i="2" a="1"/>
  <c r="E556" i="2" s="1"/>
  <c r="C556" i="2"/>
  <c r="E555" i="2" a="1"/>
  <c r="E555" i="2" s="1"/>
  <c r="C555" i="2"/>
  <c r="E554" i="2" a="1"/>
  <c r="E554" i="2" s="1"/>
  <c r="C554" i="2"/>
  <c r="E553" i="2" a="1"/>
  <c r="E553" i="2" s="1"/>
  <c r="C553" i="2"/>
  <c r="E552" i="2" a="1"/>
  <c r="E552" i="2" s="1"/>
  <c r="C552" i="2"/>
  <c r="E551" i="2" a="1"/>
  <c r="E551" i="2" s="1"/>
  <c r="C551" i="2"/>
  <c r="E550" i="2"/>
  <c r="E550" i="2" a="1"/>
  <c r="C550" i="2"/>
  <c r="E549" i="2"/>
  <c r="E549" i="2" a="1"/>
  <c r="C549" i="2"/>
  <c r="E548" i="2" a="1"/>
  <c r="E548" i="2" s="1"/>
  <c r="C548" i="2"/>
  <c r="E547" i="2" a="1"/>
  <c r="E547" i="2" s="1"/>
  <c r="C547" i="2"/>
  <c r="E546" i="2" a="1"/>
  <c r="E546" i="2" s="1"/>
  <c r="C546" i="2"/>
  <c r="E545" i="2"/>
  <c r="E545" i="2" a="1"/>
  <c r="C545" i="2"/>
  <c r="E544" i="2" a="1"/>
  <c r="E544" i="2" s="1"/>
  <c r="C544" i="2"/>
  <c r="E543" i="2" a="1"/>
  <c r="E543" i="2" s="1"/>
  <c r="C543" i="2"/>
  <c r="E542" i="2"/>
  <c r="E542" i="2" a="1"/>
  <c r="C542" i="2"/>
  <c r="E541" i="2" a="1"/>
  <c r="E541" i="2" s="1"/>
  <c r="C541" i="2"/>
  <c r="E540" i="2" a="1"/>
  <c r="E540" i="2" s="1"/>
  <c r="C540" i="2"/>
  <c r="E539" i="2"/>
  <c r="E539" i="2" a="1"/>
  <c r="C539" i="2"/>
  <c r="E538" i="2" a="1"/>
  <c r="E538" i="2" s="1"/>
  <c r="C538" i="2"/>
  <c r="E537" i="2"/>
  <c r="E537" i="2" a="1"/>
  <c r="C537" i="2"/>
  <c r="E536" i="2" a="1"/>
  <c r="E536" i="2" s="1"/>
  <c r="C536" i="2"/>
  <c r="E535" i="2" a="1"/>
  <c r="E535" i="2" s="1"/>
  <c r="C535" i="2"/>
  <c r="E534" i="2" a="1"/>
  <c r="E534" i="2" s="1"/>
  <c r="C534" i="2"/>
  <c r="E533" i="2" a="1"/>
  <c r="E533" i="2" s="1"/>
  <c r="C533" i="2"/>
  <c r="E532" i="2" a="1"/>
  <c r="E532" i="2" s="1"/>
  <c r="C532" i="2"/>
  <c r="E531" i="2" a="1"/>
  <c r="E531" i="2" s="1"/>
  <c r="C531" i="2"/>
  <c r="E530" i="2"/>
  <c r="E530" i="2" a="1"/>
  <c r="C530" i="2"/>
  <c r="E529" i="2"/>
  <c r="E529" i="2" a="1"/>
  <c r="C529" i="2"/>
  <c r="E528" i="2" a="1"/>
  <c r="E528" i="2" s="1"/>
  <c r="C528" i="2"/>
  <c r="E527" i="2" a="1"/>
  <c r="E527" i="2" s="1"/>
  <c r="C527" i="2"/>
  <c r="E526" i="2" a="1"/>
  <c r="E526" i="2" s="1"/>
  <c r="C526" i="2"/>
  <c r="E525" i="2"/>
  <c r="E525" i="2" a="1"/>
  <c r="C525" i="2"/>
  <c r="E524" i="2" a="1"/>
  <c r="E524" i="2" s="1"/>
  <c r="C524" i="2"/>
  <c r="E523" i="2" a="1"/>
  <c r="E523" i="2" s="1"/>
  <c r="C523" i="2"/>
  <c r="E522" i="2"/>
  <c r="E522" i="2" a="1"/>
  <c r="C522" i="2"/>
  <c r="E521" i="2" a="1"/>
  <c r="E521" i="2" s="1"/>
  <c r="C521" i="2"/>
  <c r="E520" i="2" a="1"/>
  <c r="E520" i="2" s="1"/>
  <c r="C520" i="2"/>
  <c r="E519" i="2"/>
  <c r="E519" i="2" a="1"/>
  <c r="C519" i="2"/>
  <c r="E518" i="2" a="1"/>
  <c r="E518" i="2" s="1"/>
  <c r="C518" i="2"/>
  <c r="E517" i="2"/>
  <c r="E517" i="2" a="1"/>
  <c r="C517" i="2"/>
  <c r="E516" i="2" a="1"/>
  <c r="E516" i="2" s="1"/>
  <c r="C516" i="2"/>
  <c r="E515" i="2" a="1"/>
  <c r="E515" i="2" s="1"/>
  <c r="C515" i="2"/>
  <c r="E514" i="2" a="1"/>
  <c r="E514" i="2" s="1"/>
  <c r="C514" i="2"/>
  <c r="E513" i="2" a="1"/>
  <c r="E513" i="2" s="1"/>
  <c r="C513" i="2"/>
  <c r="E512" i="2" a="1"/>
  <c r="E512" i="2" s="1"/>
  <c r="C512" i="2"/>
  <c r="E511" i="2" a="1"/>
  <c r="E511" i="2" s="1"/>
  <c r="C511" i="2"/>
  <c r="E510" i="2"/>
  <c r="E510" i="2" a="1"/>
  <c r="C510" i="2"/>
  <c r="E509" i="2"/>
  <c r="E509" i="2" a="1"/>
  <c r="C509" i="2"/>
  <c r="E508" i="2" a="1"/>
  <c r="E508" i="2" s="1"/>
  <c r="C508" i="2"/>
  <c r="E507" i="2" a="1"/>
  <c r="E507" i="2" s="1"/>
  <c r="C507" i="2"/>
  <c r="E506" i="2" a="1"/>
  <c r="E506" i="2" s="1"/>
  <c r="C506" i="2"/>
  <c r="E505" i="2"/>
  <c r="E505" i="2" a="1"/>
  <c r="C505" i="2"/>
  <c r="E504" i="2" a="1"/>
  <c r="E504" i="2" s="1"/>
  <c r="C504" i="2"/>
  <c r="E503" i="2" a="1"/>
  <c r="E503" i="2" s="1"/>
  <c r="C503" i="2"/>
  <c r="E502" i="2"/>
  <c r="E502" i="2" a="1"/>
  <c r="C502" i="2"/>
  <c r="E501" i="2"/>
  <c r="E501" i="2" a="1"/>
  <c r="C501" i="2"/>
  <c r="E500" i="2" a="1"/>
  <c r="E500" i="2" s="1"/>
  <c r="C500" i="2"/>
  <c r="E499" i="2"/>
  <c r="E499" i="2" a="1"/>
  <c r="C499" i="2"/>
  <c r="E498" i="2" a="1"/>
  <c r="E498" i="2" s="1"/>
  <c r="C498" i="2"/>
  <c r="E497" i="2"/>
  <c r="E497" i="2" a="1"/>
  <c r="C497" i="2"/>
  <c r="E496" i="2" a="1"/>
  <c r="E496" i="2" s="1"/>
  <c r="C496" i="2"/>
  <c r="E495" i="2" a="1"/>
  <c r="E495" i="2" s="1"/>
  <c r="C495" i="2"/>
  <c r="E494" i="2" a="1"/>
  <c r="E494" i="2" s="1"/>
  <c r="C494" i="2"/>
  <c r="E493" i="2" a="1"/>
  <c r="E493" i="2" s="1"/>
  <c r="C493" i="2"/>
  <c r="E492" i="2" a="1"/>
  <c r="E492" i="2" s="1"/>
  <c r="C492" i="2"/>
  <c r="E491" i="2" a="1"/>
  <c r="E491" i="2" s="1"/>
  <c r="C491" i="2"/>
  <c r="E490" i="2"/>
  <c r="E490" i="2" a="1"/>
  <c r="C490" i="2"/>
  <c r="E489" i="2"/>
  <c r="E489" i="2" a="1"/>
  <c r="C489" i="2"/>
  <c r="E488" i="2" a="1"/>
  <c r="E488" i="2" s="1"/>
  <c r="C488" i="2"/>
  <c r="E487" i="2" a="1"/>
  <c r="E487" i="2" s="1"/>
  <c r="C487" i="2"/>
  <c r="E486" i="2" a="1"/>
  <c r="E486" i="2" s="1"/>
  <c r="C486" i="2"/>
  <c r="E485" i="2"/>
  <c r="E485" i="2" a="1"/>
  <c r="C485" i="2"/>
  <c r="E484" i="2" a="1"/>
  <c r="E484" i="2" s="1"/>
  <c r="C484" i="2"/>
  <c r="E483" i="2" a="1"/>
  <c r="E483" i="2" s="1"/>
  <c r="C483" i="2"/>
  <c r="E482" i="2"/>
  <c r="E482" i="2" a="1"/>
  <c r="C482" i="2"/>
  <c r="E481" i="2"/>
  <c r="E481" i="2" a="1"/>
  <c r="C481" i="2"/>
  <c r="E480" i="2" a="1"/>
  <c r="E480" i="2" s="1"/>
  <c r="C480" i="2"/>
  <c r="E479" i="2"/>
  <c r="E479" i="2" a="1"/>
  <c r="C479" i="2"/>
  <c r="E478" i="2" a="1"/>
  <c r="E478" i="2" s="1"/>
  <c r="C478" i="2"/>
  <c r="E477" i="2"/>
  <c r="E477" i="2" a="1"/>
  <c r="C477" i="2"/>
  <c r="E476" i="2" a="1"/>
  <c r="E476" i="2" s="1"/>
  <c r="C476" i="2"/>
  <c r="E475" i="2" a="1"/>
  <c r="E475" i="2" s="1"/>
  <c r="C475" i="2"/>
  <c r="E474" i="2" a="1"/>
  <c r="E474" i="2" s="1"/>
  <c r="C474" i="2"/>
  <c r="E473" i="2" a="1"/>
  <c r="E473" i="2" s="1"/>
  <c r="C473" i="2"/>
  <c r="E472" i="2" a="1"/>
  <c r="E472" i="2" s="1"/>
  <c r="C472" i="2"/>
  <c r="E471" i="2" a="1"/>
  <c r="E471" i="2" s="1"/>
  <c r="C471" i="2"/>
  <c r="E470" i="2"/>
  <c r="E470" i="2" a="1"/>
  <c r="C470" i="2"/>
  <c r="E469" i="2"/>
  <c r="E469" i="2" a="1"/>
  <c r="C469" i="2"/>
  <c r="E468" i="2" a="1"/>
  <c r="E468" i="2" s="1"/>
  <c r="C468" i="2"/>
  <c r="E467" i="2" a="1"/>
  <c r="E467" i="2" s="1"/>
  <c r="C467" i="2"/>
  <c r="E466" i="2" a="1"/>
  <c r="E466" i="2" s="1"/>
  <c r="C466" i="2"/>
  <c r="E465" i="2"/>
  <c r="E465" i="2" a="1"/>
  <c r="C465" i="2"/>
  <c r="E464" i="2" a="1"/>
  <c r="E464" i="2" s="1"/>
  <c r="C464" i="2"/>
  <c r="E463" i="2" a="1"/>
  <c r="E463" i="2" s="1"/>
  <c r="C463" i="2"/>
  <c r="E462" i="2"/>
  <c r="E462" i="2" a="1"/>
  <c r="C462" i="2"/>
  <c r="E461" i="2"/>
  <c r="E461" i="2" a="1"/>
  <c r="C461" i="2"/>
  <c r="E460" i="2" a="1"/>
  <c r="E460" i="2" s="1"/>
  <c r="C460" i="2"/>
  <c r="E459" i="2"/>
  <c r="E459" i="2" a="1"/>
  <c r="C459" i="2"/>
  <c r="E458" i="2" a="1"/>
  <c r="E458" i="2" s="1"/>
  <c r="C458" i="2"/>
  <c r="E457" i="2"/>
  <c r="E457" i="2" a="1"/>
  <c r="C457" i="2"/>
  <c r="E456" i="2" a="1"/>
  <c r="E456" i="2" s="1"/>
  <c r="C456" i="2"/>
  <c r="E455" i="2" a="1"/>
  <c r="E455" i="2" s="1"/>
  <c r="C455" i="2"/>
  <c r="E454" i="2"/>
  <c r="E454" i="2" a="1"/>
  <c r="C454" i="2"/>
  <c r="E453" i="2" a="1"/>
  <c r="E453" i="2" s="1"/>
  <c r="C453" i="2"/>
  <c r="E452" i="2" a="1"/>
  <c r="E452" i="2" s="1"/>
  <c r="C452" i="2"/>
  <c r="E451" i="2" a="1"/>
  <c r="E451" i="2" s="1"/>
  <c r="C451" i="2"/>
  <c r="E450" i="2"/>
  <c r="E450" i="2" a="1"/>
  <c r="C450" i="2"/>
  <c r="E449" i="2"/>
  <c r="E449" i="2" a="1"/>
  <c r="C449" i="2"/>
  <c r="E448" i="2" a="1"/>
  <c r="E448" i="2" s="1"/>
  <c r="C448" i="2"/>
  <c r="E447" i="2" a="1"/>
  <c r="E447" i="2" s="1"/>
  <c r="C447" i="2"/>
  <c r="E446" i="2" a="1"/>
  <c r="E446" i="2" s="1"/>
  <c r="C446" i="2"/>
  <c r="E445" i="2"/>
  <c r="E445" i="2" a="1"/>
  <c r="C445" i="2"/>
  <c r="E444" i="2" a="1"/>
  <c r="E444" i="2" s="1"/>
  <c r="C444" i="2"/>
  <c r="E443" i="2" a="1"/>
  <c r="E443" i="2" s="1"/>
  <c r="C443" i="2"/>
  <c r="E442" i="2"/>
  <c r="E442" i="2" a="1"/>
  <c r="C442" i="2"/>
  <c r="E441" i="2"/>
  <c r="E441" i="2" a="1"/>
  <c r="C441" i="2"/>
  <c r="E440" i="2" a="1"/>
  <c r="E440" i="2" s="1"/>
  <c r="C440" i="2"/>
  <c r="E439" i="2"/>
  <c r="E439" i="2" a="1"/>
  <c r="C439" i="2"/>
  <c r="E438" i="2" a="1"/>
  <c r="E438" i="2" s="1"/>
  <c r="C438" i="2"/>
  <c r="E437" i="2"/>
  <c r="E437" i="2" a="1"/>
  <c r="C437" i="2"/>
  <c r="E436" i="2" a="1"/>
  <c r="E436" i="2" s="1"/>
  <c r="C436" i="2"/>
  <c r="E435" i="2" a="1"/>
  <c r="E435" i="2" s="1"/>
  <c r="C435" i="2"/>
  <c r="E434" i="2"/>
  <c r="E434" i="2" a="1"/>
  <c r="C434" i="2"/>
  <c r="E433" i="2" a="1"/>
  <c r="E433" i="2" s="1"/>
  <c r="C433" i="2"/>
  <c r="E432" i="2" a="1"/>
  <c r="E432" i="2" s="1"/>
  <c r="C432" i="2"/>
  <c r="E431" i="2" a="1"/>
  <c r="E431" i="2" s="1"/>
  <c r="C431" i="2"/>
  <c r="E430" i="2"/>
  <c r="E430" i="2" a="1"/>
  <c r="C430" i="2"/>
  <c r="E429" i="2"/>
  <c r="E429" i="2" a="1"/>
  <c r="C429" i="2"/>
  <c r="E428" i="2" a="1"/>
  <c r="E428" i="2" s="1"/>
  <c r="C428" i="2"/>
  <c r="E427" i="2" a="1"/>
  <c r="E427" i="2" s="1"/>
  <c r="C427" i="2"/>
  <c r="E426" i="2" a="1"/>
  <c r="E426" i="2" s="1"/>
  <c r="C426" i="2"/>
  <c r="E425" i="2"/>
  <c r="E425" i="2" a="1"/>
  <c r="C425" i="2"/>
  <c r="E424" i="2" a="1"/>
  <c r="E424" i="2" s="1"/>
  <c r="C424" i="2"/>
  <c r="E423" i="2" a="1"/>
  <c r="E423" i="2" s="1"/>
  <c r="C423" i="2"/>
  <c r="E422" i="2"/>
  <c r="E422" i="2" a="1"/>
  <c r="C422" i="2"/>
  <c r="E421" i="2"/>
  <c r="E421" i="2" a="1"/>
  <c r="C421" i="2"/>
  <c r="E420" i="2" a="1"/>
  <c r="E420" i="2" s="1"/>
  <c r="C420" i="2"/>
  <c r="E419" i="2"/>
  <c r="E419" i="2" a="1"/>
  <c r="C419" i="2"/>
  <c r="E418" i="2" a="1"/>
  <c r="E418" i="2" s="1"/>
  <c r="C418" i="2"/>
  <c r="E417" i="2"/>
  <c r="E417" i="2" a="1"/>
  <c r="C417" i="2"/>
  <c r="E416" i="2" a="1"/>
  <c r="E416" i="2" s="1"/>
  <c r="C416" i="2"/>
  <c r="E415" i="2" a="1"/>
  <c r="E415" i="2" s="1"/>
  <c r="C415" i="2"/>
  <c r="E414" i="2" a="1"/>
  <c r="E414" i="2" s="1"/>
  <c r="C414" i="2"/>
  <c r="E413" i="2" a="1"/>
  <c r="E413" i="2" s="1"/>
  <c r="C413" i="2"/>
  <c r="E412" i="2" a="1"/>
  <c r="E412" i="2" s="1"/>
  <c r="C412" i="2"/>
  <c r="E411" i="2" a="1"/>
  <c r="E411" i="2" s="1"/>
  <c r="C411" i="2"/>
  <c r="E410" i="2"/>
  <c r="E410" i="2" a="1"/>
  <c r="C410" i="2"/>
  <c r="E409" i="2"/>
  <c r="E409" i="2" a="1"/>
  <c r="C409" i="2"/>
  <c r="E408" i="2" a="1"/>
  <c r="E408" i="2" s="1"/>
  <c r="C408" i="2"/>
  <c r="E407" i="2" a="1"/>
  <c r="E407" i="2" s="1"/>
  <c r="C407" i="2"/>
  <c r="E406" i="2" a="1"/>
  <c r="E406" i="2" s="1"/>
  <c r="C406" i="2"/>
  <c r="E405" i="2"/>
  <c r="E405" i="2" a="1"/>
  <c r="C405" i="2"/>
  <c r="E404" i="2" a="1"/>
  <c r="E404" i="2" s="1"/>
  <c r="C404" i="2"/>
  <c r="E403" i="2" a="1"/>
  <c r="E403" i="2" s="1"/>
  <c r="C403" i="2"/>
  <c r="E402" i="2"/>
  <c r="E402" i="2" a="1"/>
  <c r="C402" i="2"/>
  <c r="E401" i="2"/>
  <c r="E401" i="2" a="1"/>
  <c r="C401" i="2"/>
  <c r="E400" i="2" a="1"/>
  <c r="E400" i="2" s="1"/>
  <c r="C400" i="2"/>
  <c r="E399" i="2"/>
  <c r="E399" i="2" a="1"/>
  <c r="C399" i="2"/>
  <c r="E398" i="2" a="1"/>
  <c r="E398" i="2" s="1"/>
  <c r="C398" i="2"/>
  <c r="E397" i="2"/>
  <c r="E397" i="2" a="1"/>
  <c r="C397" i="2"/>
  <c r="E396" i="2" a="1"/>
  <c r="E396" i="2" s="1"/>
  <c r="C396" i="2"/>
  <c r="E395" i="2" a="1"/>
  <c r="E395" i="2" s="1"/>
  <c r="C395" i="2"/>
  <c r="E394" i="2" a="1"/>
  <c r="E394" i="2" s="1"/>
  <c r="C394" i="2"/>
  <c r="E393" i="2" a="1"/>
  <c r="E393" i="2" s="1"/>
  <c r="C393" i="2"/>
  <c r="E392" i="2" a="1"/>
  <c r="E392" i="2" s="1"/>
  <c r="C392" i="2"/>
  <c r="E391" i="2" a="1"/>
  <c r="E391" i="2" s="1"/>
  <c r="C391" i="2"/>
  <c r="E390" i="2"/>
  <c r="E390" i="2" a="1"/>
  <c r="C390" i="2"/>
  <c r="E389" i="2"/>
  <c r="E389" i="2" a="1"/>
  <c r="C389" i="2"/>
  <c r="E388" i="2" a="1"/>
  <c r="E388" i="2" s="1"/>
  <c r="C388" i="2"/>
  <c r="E387" i="2" a="1"/>
  <c r="E387" i="2" s="1"/>
  <c r="C387" i="2"/>
  <c r="E386" i="2" a="1"/>
  <c r="E386" i="2" s="1"/>
  <c r="C386" i="2"/>
  <c r="E385" i="2"/>
  <c r="E385" i="2" a="1"/>
  <c r="C385" i="2"/>
  <c r="E384" i="2" a="1"/>
  <c r="E384" i="2" s="1"/>
  <c r="C384" i="2"/>
  <c r="E383" i="2" a="1"/>
  <c r="E383" i="2" s="1"/>
  <c r="C383" i="2"/>
  <c r="E382" i="2"/>
  <c r="E382" i="2" a="1"/>
  <c r="C382" i="2"/>
  <c r="E381" i="2"/>
  <c r="E381" i="2" a="1"/>
  <c r="C381" i="2"/>
  <c r="E380" i="2" a="1"/>
  <c r="E380" i="2" s="1"/>
  <c r="C380" i="2"/>
  <c r="E379" i="2"/>
  <c r="E379" i="2" a="1"/>
  <c r="C379" i="2"/>
  <c r="E378" i="2" a="1"/>
  <c r="E378" i="2" s="1"/>
  <c r="C378" i="2"/>
  <c r="E377" i="2"/>
  <c r="E377" i="2" a="1"/>
  <c r="C377" i="2"/>
  <c r="E376" i="2" a="1"/>
  <c r="E376" i="2" s="1"/>
  <c r="C376" i="2"/>
  <c r="E375" i="2" a="1"/>
  <c r="E375" i="2" s="1"/>
  <c r="C375" i="2"/>
  <c r="E374" i="2" a="1"/>
  <c r="E374" i="2" s="1"/>
  <c r="C374" i="2"/>
  <c r="E373" i="2" a="1"/>
  <c r="E373" i="2" s="1"/>
  <c r="C373" i="2"/>
  <c r="E372" i="2" a="1"/>
  <c r="E372" i="2" s="1"/>
  <c r="C372" i="2"/>
  <c r="E371" i="2" a="1"/>
  <c r="E371" i="2" s="1"/>
  <c r="C371" i="2"/>
  <c r="E370" i="2"/>
  <c r="E370" i="2" a="1"/>
  <c r="C370" i="2"/>
  <c r="E369" i="2"/>
  <c r="E369" i="2" a="1"/>
  <c r="C369" i="2"/>
  <c r="E368" i="2" a="1"/>
  <c r="E368" i="2" s="1"/>
  <c r="C368" i="2"/>
  <c r="E367" i="2" a="1"/>
  <c r="E367" i="2" s="1"/>
  <c r="C367" i="2"/>
  <c r="E366" i="2" a="1"/>
  <c r="E366" i="2" s="1"/>
  <c r="C366" i="2"/>
  <c r="E365" i="2"/>
  <c r="E365" i="2" a="1"/>
  <c r="C365" i="2"/>
  <c r="E364" i="2" a="1"/>
  <c r="E364" i="2" s="1"/>
  <c r="C364" i="2"/>
  <c r="E363" i="2" a="1"/>
  <c r="E363" i="2" s="1"/>
  <c r="C363" i="2"/>
  <c r="E362" i="2"/>
  <c r="E362" i="2" a="1"/>
  <c r="C362" i="2"/>
  <c r="E361" i="2"/>
  <c r="E361" i="2" a="1"/>
  <c r="C361" i="2"/>
  <c r="E360" i="2" a="1"/>
  <c r="E360" i="2" s="1"/>
  <c r="C360" i="2"/>
  <c r="E359" i="2"/>
  <c r="E359" i="2" a="1"/>
  <c r="C359" i="2"/>
  <c r="E358" i="2" a="1"/>
  <c r="E358" i="2" s="1"/>
  <c r="C358" i="2"/>
  <c r="E357" i="2"/>
  <c r="E357" i="2" a="1"/>
  <c r="C357" i="2"/>
  <c r="E356" i="2" a="1"/>
  <c r="E356" i="2" s="1"/>
  <c r="C356" i="2"/>
  <c r="E355" i="2" a="1"/>
  <c r="E355" i="2" s="1"/>
  <c r="C355" i="2"/>
  <c r="E354" i="2" a="1"/>
  <c r="E354" i="2" s="1"/>
  <c r="C354" i="2"/>
  <c r="E353" i="2" a="1"/>
  <c r="E353" i="2" s="1"/>
  <c r="C353" i="2"/>
  <c r="E352" i="2" a="1"/>
  <c r="E352" i="2" s="1"/>
  <c r="C352" i="2"/>
  <c r="E351" i="2" a="1"/>
  <c r="E351" i="2" s="1"/>
  <c r="C351" i="2"/>
  <c r="E350" i="2"/>
  <c r="E350" i="2" a="1"/>
  <c r="C350" i="2"/>
  <c r="E349" i="2"/>
  <c r="E349" i="2" a="1"/>
  <c r="C349" i="2"/>
  <c r="E348" i="2" a="1"/>
  <c r="E348" i="2" s="1"/>
  <c r="C348" i="2"/>
  <c r="E347" i="2" a="1"/>
  <c r="E347" i="2" s="1"/>
  <c r="C347" i="2"/>
  <c r="E346" i="2" a="1"/>
  <c r="E346" i="2" s="1"/>
  <c r="C346" i="2"/>
  <c r="E345" i="2"/>
  <c r="E345" i="2" a="1"/>
  <c r="C345" i="2"/>
  <c r="E344" i="2" a="1"/>
  <c r="E344" i="2" s="1"/>
  <c r="C344" i="2"/>
  <c r="E343" i="2" a="1"/>
  <c r="E343" i="2" s="1"/>
  <c r="C343" i="2"/>
  <c r="E342" i="2"/>
  <c r="E342" i="2" a="1"/>
  <c r="C342" i="2"/>
  <c r="E341" i="2"/>
  <c r="E341" i="2" a="1"/>
  <c r="C341" i="2"/>
  <c r="E340" i="2" a="1"/>
  <c r="E340" i="2" s="1"/>
  <c r="C340" i="2"/>
  <c r="E339" i="2"/>
  <c r="E339" i="2" a="1"/>
  <c r="C339" i="2"/>
  <c r="E338" i="2" a="1"/>
  <c r="E338" i="2" s="1"/>
  <c r="C338" i="2"/>
  <c r="E337" i="2"/>
  <c r="E337" i="2" a="1"/>
  <c r="C337" i="2"/>
  <c r="E336" i="2" a="1"/>
  <c r="E336" i="2" s="1"/>
  <c r="C336" i="2"/>
  <c r="E335" i="2" a="1"/>
  <c r="E335" i="2" s="1"/>
  <c r="C335" i="2"/>
  <c r="E334" i="2" a="1"/>
  <c r="E334" i="2" s="1"/>
  <c r="C334" i="2"/>
  <c r="E333" i="2" a="1"/>
  <c r="E333" i="2" s="1"/>
  <c r="C333" i="2"/>
  <c r="E332" i="2" a="1"/>
  <c r="E332" i="2" s="1"/>
  <c r="C332" i="2"/>
  <c r="E331" i="2" a="1"/>
  <c r="E331" i="2" s="1"/>
  <c r="C331" i="2"/>
  <c r="E330" i="2" a="1"/>
  <c r="E330" i="2" s="1"/>
  <c r="C330" i="2"/>
  <c r="E329" i="2"/>
  <c r="E329" i="2" a="1"/>
  <c r="C329" i="2"/>
  <c r="E328" i="2" a="1"/>
  <c r="E328" i="2" s="1"/>
  <c r="C328" i="2"/>
  <c r="E327" i="2" a="1"/>
  <c r="E327" i="2" s="1"/>
  <c r="C327" i="2"/>
  <c r="E326" i="2" a="1"/>
  <c r="E326" i="2" s="1"/>
  <c r="C326" i="2"/>
  <c r="E325" i="2" a="1"/>
  <c r="E325" i="2" s="1"/>
  <c r="C325" i="2"/>
  <c r="E324" i="2" a="1"/>
  <c r="E324" i="2" s="1"/>
  <c r="C324" i="2"/>
  <c r="E323" i="2" a="1"/>
  <c r="E323" i="2" s="1"/>
  <c r="C323" i="2"/>
  <c r="E322" i="2" a="1"/>
  <c r="E322" i="2" s="1"/>
  <c r="C322" i="2"/>
  <c r="E321" i="2" a="1"/>
  <c r="E321" i="2" s="1"/>
  <c r="C321" i="2"/>
  <c r="E320" i="2" a="1"/>
  <c r="E320" i="2" s="1"/>
  <c r="C320" i="2"/>
  <c r="E319" i="2"/>
  <c r="E319" i="2" a="1"/>
  <c r="C319" i="2"/>
  <c r="E318" i="2" a="1"/>
  <c r="E318" i="2" s="1"/>
  <c r="C318" i="2"/>
  <c r="E317" i="2"/>
  <c r="E317" i="2" a="1"/>
  <c r="C317" i="2"/>
  <c r="E316" i="2"/>
  <c r="E316" i="2" a="1"/>
  <c r="C316" i="2"/>
  <c r="E315" i="2" a="1"/>
  <c r="E315" i="2" s="1"/>
  <c r="C315" i="2"/>
  <c r="E314" i="2" a="1"/>
  <c r="E314" i="2" s="1"/>
  <c r="C314" i="2"/>
  <c r="E313" i="2" a="1"/>
  <c r="E313" i="2" s="1"/>
  <c r="C313" i="2"/>
  <c r="E312" i="2" a="1"/>
  <c r="E312" i="2" s="1"/>
  <c r="C312" i="2"/>
  <c r="E311" i="2" a="1"/>
  <c r="E311" i="2" s="1"/>
  <c r="C311" i="2"/>
  <c r="E310" i="2" a="1"/>
  <c r="E310" i="2" s="1"/>
  <c r="C310" i="2"/>
  <c r="E309" i="2" a="1"/>
  <c r="E309" i="2" s="1"/>
  <c r="C309" i="2"/>
  <c r="E308" i="2" a="1"/>
  <c r="E308" i="2" s="1"/>
  <c r="C308" i="2"/>
  <c r="E307" i="2"/>
  <c r="E307" i="2" a="1"/>
  <c r="C307" i="2"/>
  <c r="E306" i="2" a="1"/>
  <c r="E306" i="2" s="1"/>
  <c r="C306" i="2"/>
  <c r="E305" i="2" a="1"/>
  <c r="E305" i="2" s="1"/>
  <c r="C305" i="2"/>
  <c r="E304" i="2" a="1"/>
  <c r="E304" i="2" s="1"/>
  <c r="C304" i="2"/>
  <c r="E303" i="2"/>
  <c r="E303" i="2" a="1"/>
  <c r="C303" i="2"/>
  <c r="E302" i="2" a="1"/>
  <c r="E302" i="2" s="1"/>
  <c r="C302" i="2"/>
  <c r="E301" i="2" a="1"/>
  <c r="E301" i="2" s="1"/>
  <c r="C301" i="2"/>
  <c r="E300" i="2" a="1"/>
  <c r="E300" i="2" s="1"/>
  <c r="C300" i="2"/>
  <c r="E299" i="2"/>
  <c r="E299" i="2" a="1"/>
  <c r="C299" i="2"/>
  <c r="E298" i="2" a="1"/>
  <c r="E298" i="2" s="1"/>
  <c r="C298" i="2"/>
  <c r="E297" i="2"/>
  <c r="E297" i="2" a="1"/>
  <c r="C297" i="2"/>
  <c r="E296" i="2"/>
  <c r="E296" i="2" a="1"/>
  <c r="C296" i="2"/>
  <c r="E295" i="2" a="1"/>
  <c r="E295" i="2" s="1"/>
  <c r="C295" i="2"/>
  <c r="E294" i="2" a="1"/>
  <c r="E294" i="2" s="1"/>
  <c r="C294" i="2"/>
  <c r="E293" i="2" a="1"/>
  <c r="E293" i="2" s="1"/>
  <c r="C293" i="2"/>
  <c r="E292" i="2" a="1"/>
  <c r="E292" i="2" s="1"/>
  <c r="C292" i="2"/>
  <c r="E291" i="2" a="1"/>
  <c r="E291" i="2" s="1"/>
  <c r="C291" i="2"/>
  <c r="E290" i="2" a="1"/>
  <c r="E290" i="2" s="1"/>
  <c r="C290" i="2"/>
  <c r="E289" i="2" a="1"/>
  <c r="E289" i="2" s="1"/>
  <c r="C289" i="2"/>
  <c r="E288" i="2"/>
  <c r="E288" i="2" a="1"/>
  <c r="C288" i="2"/>
  <c r="E287" i="2"/>
  <c r="E287" i="2" a="1"/>
  <c r="C287" i="2"/>
  <c r="E286" i="2"/>
  <c r="E286" i="2" a="1"/>
  <c r="C286" i="2"/>
  <c r="E285" i="2" a="1"/>
  <c r="E285" i="2" s="1"/>
  <c r="C285" i="2"/>
  <c r="E284" i="2" a="1"/>
  <c r="E284" i="2" s="1"/>
  <c r="C284" i="2"/>
  <c r="E283" i="2" a="1"/>
  <c r="E283" i="2" s="1"/>
  <c r="C283" i="2"/>
  <c r="E282" i="2" a="1"/>
  <c r="E282" i="2" s="1"/>
  <c r="C282" i="2"/>
  <c r="E281" i="2" a="1"/>
  <c r="E281" i="2" s="1"/>
  <c r="C281" i="2"/>
  <c r="E280" i="2" a="1"/>
  <c r="E280" i="2" s="1"/>
  <c r="C280" i="2"/>
  <c r="E279" i="2"/>
  <c r="E279" i="2" a="1"/>
  <c r="C279" i="2"/>
  <c r="E278" i="2" a="1"/>
  <c r="E278" i="2" s="1"/>
  <c r="C278" i="2"/>
  <c r="E277" i="2" a="1"/>
  <c r="E277" i="2" s="1"/>
  <c r="C277" i="2"/>
  <c r="E276" i="2" a="1"/>
  <c r="E276" i="2" s="1"/>
  <c r="C276" i="2"/>
  <c r="E275" i="2" a="1"/>
  <c r="E275" i="2" s="1"/>
  <c r="C275" i="2"/>
  <c r="E274" i="2" a="1"/>
  <c r="E274" i="2" s="1"/>
  <c r="C274" i="2"/>
  <c r="E273" i="2" a="1"/>
  <c r="E273" i="2" s="1"/>
  <c r="C273" i="2"/>
  <c r="E272" i="2" a="1"/>
  <c r="E272" i="2" s="1"/>
  <c r="C272" i="2"/>
  <c r="E271" i="2" a="1"/>
  <c r="E271" i="2" s="1"/>
  <c r="C271" i="2"/>
  <c r="E270" i="2" a="1"/>
  <c r="E270" i="2" s="1"/>
  <c r="C270" i="2"/>
  <c r="E269" i="2"/>
  <c r="E269" i="2" a="1"/>
  <c r="C269" i="2"/>
  <c r="E268" i="2"/>
  <c r="E268" i="2" a="1"/>
  <c r="C268" i="2"/>
  <c r="E267" i="2"/>
  <c r="E267" i="2" a="1"/>
  <c r="C267" i="2"/>
  <c r="E266" i="2" a="1"/>
  <c r="E266" i="2" s="1"/>
  <c r="C266" i="2"/>
  <c r="E265" i="2" a="1"/>
  <c r="E265" i="2" s="1"/>
  <c r="C265" i="2"/>
  <c r="E264" i="2" a="1"/>
  <c r="E264" i="2" s="1"/>
  <c r="C264" i="2"/>
  <c r="E263" i="2"/>
  <c r="E263" i="2" a="1"/>
  <c r="C263" i="2"/>
  <c r="E262" i="2" a="1"/>
  <c r="E262" i="2" s="1"/>
  <c r="C262" i="2"/>
  <c r="E261" i="2" a="1"/>
  <c r="E261" i="2" s="1"/>
  <c r="C261" i="2"/>
  <c r="E260" i="2" a="1"/>
  <c r="E260" i="2" s="1"/>
  <c r="C260" i="2"/>
  <c r="E259" i="2"/>
  <c r="E259" i="2" a="1"/>
  <c r="C259" i="2"/>
  <c r="E258" i="2" a="1"/>
  <c r="E258" i="2" s="1"/>
  <c r="C258" i="2"/>
  <c r="E257" i="2" a="1"/>
  <c r="E257" i="2" s="1"/>
  <c r="C257" i="2"/>
  <c r="E256" i="2"/>
  <c r="E256" i="2" a="1"/>
  <c r="C256" i="2"/>
  <c r="E255" i="2" a="1"/>
  <c r="E255" i="2" s="1"/>
  <c r="C255" i="2"/>
  <c r="E254" i="2" a="1"/>
  <c r="E254" i="2" s="1"/>
  <c r="C254" i="2"/>
  <c r="E253" i="2" a="1"/>
  <c r="E253" i="2" s="1"/>
  <c r="C253" i="2"/>
  <c r="E252" i="2" a="1"/>
  <c r="E252" i="2" s="1"/>
  <c r="C252" i="2"/>
  <c r="E251" i="2" a="1"/>
  <c r="E251" i="2" s="1"/>
  <c r="C251" i="2"/>
  <c r="E250" i="2" a="1"/>
  <c r="E250" i="2" s="1"/>
  <c r="C250" i="2"/>
  <c r="E249" i="2" a="1"/>
  <c r="E249" i="2" s="1"/>
  <c r="C249" i="2"/>
  <c r="E248" i="2" a="1"/>
  <c r="E248" i="2" s="1"/>
  <c r="C248" i="2"/>
  <c r="E247" i="2" a="1"/>
  <c r="E247" i="2" s="1"/>
  <c r="C247" i="2"/>
  <c r="E246" i="2" a="1"/>
  <c r="E246" i="2" s="1"/>
  <c r="C246" i="2"/>
  <c r="E245" i="2" a="1"/>
  <c r="E245" i="2" s="1"/>
  <c r="C245" i="2"/>
  <c r="E244" i="2" a="1"/>
  <c r="E244" i="2" s="1"/>
  <c r="C244" i="2"/>
  <c r="E243" i="2"/>
  <c r="E243" i="2" a="1"/>
  <c r="C243" i="2"/>
  <c r="E242" i="2"/>
  <c r="E242" i="2" a="1"/>
  <c r="C242" i="2"/>
  <c r="E241" i="2" a="1"/>
  <c r="E241" i="2" s="1"/>
  <c r="C241" i="2"/>
  <c r="E240" i="2"/>
  <c r="E240" i="2" a="1"/>
  <c r="C240" i="2"/>
  <c r="E239" i="2"/>
  <c r="E239" i="2" a="1"/>
  <c r="C239" i="2"/>
  <c r="E238" i="2" a="1"/>
  <c r="E238" i="2" s="1"/>
  <c r="C238" i="2"/>
  <c r="E237" i="2"/>
  <c r="E237" i="2" a="1"/>
  <c r="C237" i="2"/>
  <c r="E236" i="2"/>
  <c r="E236" i="2" a="1"/>
  <c r="C236" i="2"/>
  <c r="E235" i="2"/>
  <c r="E235" i="2" a="1"/>
  <c r="C235" i="2"/>
  <c r="E234" i="2" a="1"/>
  <c r="E234" i="2" s="1"/>
  <c r="C234" i="2"/>
  <c r="E233" i="2"/>
  <c r="E233" i="2" a="1"/>
  <c r="C233" i="2"/>
  <c r="E232" i="2" a="1"/>
  <c r="E232" i="2" s="1"/>
  <c r="C232" i="2"/>
  <c r="E231" i="2" a="1"/>
  <c r="E231" i="2" s="1"/>
  <c r="C231" i="2"/>
  <c r="E230" i="2" a="1"/>
  <c r="E230" i="2" s="1"/>
  <c r="C230" i="2"/>
  <c r="E229" i="2" a="1"/>
  <c r="E229" i="2" s="1"/>
  <c r="C229" i="2"/>
  <c r="E228" i="2" a="1"/>
  <c r="E228" i="2" s="1"/>
  <c r="C228" i="2"/>
  <c r="E227" i="2"/>
  <c r="E227" i="2" a="1"/>
  <c r="C227" i="2"/>
  <c r="E226" i="2" a="1"/>
  <c r="E226" i="2" s="1"/>
  <c r="C226" i="2"/>
  <c r="E225" i="2" a="1"/>
  <c r="E225" i="2" s="1"/>
  <c r="C225" i="2"/>
  <c r="E224" i="2" a="1"/>
  <c r="E224" i="2" s="1"/>
  <c r="C224" i="2"/>
  <c r="E223" i="2"/>
  <c r="E223" i="2" a="1"/>
  <c r="C223" i="2"/>
  <c r="E222" i="2" a="1"/>
  <c r="E222" i="2" s="1"/>
  <c r="C222" i="2"/>
  <c r="E221" i="2" a="1"/>
  <c r="E221" i="2" s="1"/>
  <c r="C221" i="2"/>
  <c r="E220" i="2" a="1"/>
  <c r="E220" i="2" s="1"/>
  <c r="C220" i="2"/>
  <c r="E219" i="2"/>
  <c r="E219" i="2" a="1"/>
  <c r="C219" i="2"/>
  <c r="E218" i="2" a="1"/>
  <c r="E218" i="2" s="1"/>
  <c r="C218" i="2"/>
  <c r="E217" i="2"/>
  <c r="E217" i="2" a="1"/>
  <c r="C217" i="2"/>
  <c r="E216" i="2"/>
  <c r="E216" i="2" a="1"/>
  <c r="C216" i="2"/>
  <c r="E215" i="2" a="1"/>
  <c r="E215" i="2" s="1"/>
  <c r="C215" i="2"/>
  <c r="E214" i="2" a="1"/>
  <c r="E214" i="2" s="1"/>
  <c r="C214" i="2"/>
  <c r="E213" i="2" a="1"/>
  <c r="E213" i="2" s="1"/>
  <c r="C213" i="2"/>
  <c r="E212" i="2" a="1"/>
  <c r="E212" i="2" s="1"/>
  <c r="C212" i="2"/>
  <c r="E211" i="2" a="1"/>
  <c r="E211" i="2" s="1"/>
  <c r="C211" i="2"/>
  <c r="E210" i="2" a="1"/>
  <c r="E210" i="2" s="1"/>
  <c r="C210" i="2"/>
  <c r="E209" i="2"/>
  <c r="E209" i="2" a="1"/>
  <c r="C209" i="2"/>
  <c r="E208" i="2"/>
  <c r="E208" i="2" a="1"/>
  <c r="C208" i="2"/>
  <c r="E207" i="2"/>
  <c r="E207" i="2" a="1"/>
  <c r="C207" i="2"/>
  <c r="E206" i="2"/>
  <c r="E206" i="2" a="1"/>
  <c r="C206" i="2"/>
  <c r="E205" i="2" a="1"/>
  <c r="E205" i="2" s="1"/>
  <c r="C205" i="2"/>
  <c r="E204" i="2" a="1"/>
  <c r="E204" i="2" s="1"/>
  <c r="C204" i="2"/>
  <c r="E203" i="2" a="1"/>
  <c r="E203" i="2" s="1"/>
  <c r="C203" i="2"/>
  <c r="E202" i="2" a="1"/>
  <c r="E202" i="2" s="1"/>
  <c r="C202" i="2"/>
  <c r="E201" i="2"/>
  <c r="E201" i="2" a="1"/>
  <c r="C201" i="2"/>
  <c r="E200" i="2"/>
  <c r="E200" i="2" a="1"/>
  <c r="C200" i="2"/>
  <c r="E199" i="2"/>
  <c r="E199" i="2" a="1"/>
  <c r="C199" i="2"/>
  <c r="E198" i="2" a="1"/>
  <c r="E198" i="2" s="1"/>
  <c r="C198" i="2"/>
  <c r="E197" i="2" a="1"/>
  <c r="E197" i="2" s="1"/>
  <c r="C197" i="2"/>
  <c r="E196" i="2" a="1"/>
  <c r="E196" i="2" s="1"/>
  <c r="C196" i="2"/>
  <c r="E195" i="2" a="1"/>
  <c r="E195" i="2" s="1"/>
  <c r="C195" i="2"/>
  <c r="E194" i="2"/>
  <c r="E194" i="2" a="1"/>
  <c r="C194" i="2"/>
  <c r="E193" i="2"/>
  <c r="E193" i="2" a="1"/>
  <c r="C193" i="2"/>
  <c r="E192" i="2" a="1"/>
  <c r="E192" i="2" s="1"/>
  <c r="C192" i="2"/>
  <c r="E191" i="2" a="1"/>
  <c r="E191" i="2" s="1"/>
  <c r="C191" i="2"/>
  <c r="E190" i="2" a="1"/>
  <c r="E190" i="2" s="1"/>
  <c r="C190" i="2"/>
  <c r="E189" i="2" a="1"/>
  <c r="E189" i="2" s="1"/>
  <c r="C189" i="2"/>
  <c r="E188" i="2" a="1"/>
  <c r="E188" i="2" s="1"/>
  <c r="C188" i="2"/>
  <c r="E187" i="2" a="1"/>
  <c r="E187" i="2" s="1"/>
  <c r="C187" i="2"/>
  <c r="E186" i="2" a="1"/>
  <c r="E186" i="2" s="1"/>
  <c r="C186" i="2"/>
  <c r="E185" i="2" a="1"/>
  <c r="E185" i="2" s="1"/>
  <c r="C185" i="2"/>
  <c r="E184" i="2" a="1"/>
  <c r="E184" i="2" s="1"/>
  <c r="C184" i="2"/>
  <c r="E183" i="2" a="1"/>
  <c r="E183" i="2" s="1"/>
  <c r="C183" i="2"/>
  <c r="E182" i="2" a="1"/>
  <c r="E182" i="2" s="1"/>
  <c r="C182" i="2"/>
  <c r="E181" i="2" a="1"/>
  <c r="E181" i="2" s="1"/>
  <c r="C181" i="2"/>
  <c r="E180" i="2" a="1"/>
  <c r="E180" i="2" s="1"/>
  <c r="C180" i="2"/>
  <c r="E179" i="2"/>
  <c r="E179" i="2" a="1"/>
  <c r="C179" i="2"/>
  <c r="E178" i="2" a="1"/>
  <c r="E178" i="2" s="1"/>
  <c r="C178" i="2"/>
  <c r="E177" i="2" a="1"/>
  <c r="E177" i="2" s="1"/>
  <c r="C177" i="2"/>
  <c r="E176" i="2" a="1"/>
  <c r="E176" i="2" s="1"/>
  <c r="C176" i="2"/>
  <c r="E175" i="2" a="1"/>
  <c r="E175" i="2" s="1"/>
  <c r="C175" i="2"/>
  <c r="E174" i="2" a="1"/>
  <c r="E174" i="2" s="1"/>
  <c r="C174" i="2"/>
  <c r="E173" i="2" a="1"/>
  <c r="E173" i="2" s="1"/>
  <c r="C173" i="2"/>
  <c r="E172" i="2" a="1"/>
  <c r="E172" i="2" s="1"/>
  <c r="C172" i="2"/>
  <c r="E171" i="2" a="1"/>
  <c r="E171" i="2" s="1"/>
  <c r="C171" i="2"/>
  <c r="E170" i="2"/>
  <c r="E170" i="2" a="1"/>
  <c r="C170" i="2"/>
  <c r="E169" i="2" a="1"/>
  <c r="E169" i="2" s="1"/>
  <c r="C169" i="2"/>
  <c r="E168" i="2"/>
  <c r="E168" i="2" a="1"/>
  <c r="C168" i="2"/>
  <c r="E167" i="2"/>
  <c r="E167" i="2" a="1"/>
  <c r="C167" i="2"/>
  <c r="E166" i="2"/>
  <c r="E166" i="2" a="1"/>
  <c r="C166" i="2"/>
  <c r="E165" i="2" a="1"/>
  <c r="E165" i="2" s="1"/>
  <c r="C165" i="2"/>
  <c r="E164" i="2"/>
  <c r="E164" i="2" a="1"/>
  <c r="C164" i="2"/>
  <c r="E163" i="2"/>
  <c r="E163" i="2" a="1"/>
  <c r="C163" i="2"/>
  <c r="E162" i="2" a="1"/>
  <c r="E162" i="2" s="1"/>
  <c r="C162" i="2"/>
  <c r="E161" i="2"/>
  <c r="E161" i="2" a="1"/>
  <c r="C161" i="2"/>
  <c r="E160" i="2"/>
  <c r="E160" i="2" a="1"/>
  <c r="C160" i="2"/>
  <c r="E159" i="2"/>
  <c r="E159" i="2" a="1"/>
  <c r="C159" i="2"/>
  <c r="E158" i="2" a="1"/>
  <c r="E158" i="2" s="1"/>
  <c r="C158" i="2"/>
  <c r="E157" i="2"/>
  <c r="E157" i="2" a="1"/>
  <c r="C157" i="2"/>
  <c r="E156" i="2"/>
  <c r="E156" i="2" a="1"/>
  <c r="C156" i="2"/>
  <c r="E155" i="2" a="1"/>
  <c r="E155" i="2" s="1"/>
  <c r="C155" i="2"/>
  <c r="E154" i="2"/>
  <c r="E154" i="2" a="1"/>
  <c r="C154" i="2"/>
  <c r="E153" i="2"/>
  <c r="E153" i="2" a="1"/>
  <c r="C153" i="2"/>
  <c r="E152" i="2" a="1"/>
  <c r="E152" i="2" s="1"/>
  <c r="C152" i="2"/>
  <c r="E151" i="2" a="1"/>
  <c r="E151" i="2" s="1"/>
  <c r="C151" i="2"/>
  <c r="E150" i="2" a="1"/>
  <c r="E150" i="2" s="1"/>
  <c r="C150" i="2"/>
  <c r="E149" i="2" a="1"/>
  <c r="E149" i="2" s="1"/>
  <c r="C149" i="2"/>
  <c r="E148" i="2"/>
  <c r="E148" i="2" a="1"/>
  <c r="C148" i="2"/>
  <c r="E147" i="2" a="1"/>
  <c r="E147" i="2" s="1"/>
  <c r="C147" i="2"/>
  <c r="E146" i="2" a="1"/>
  <c r="E146" i="2" s="1"/>
  <c r="C146" i="2"/>
  <c r="E145" i="2" a="1"/>
  <c r="E145" i="2" s="1"/>
  <c r="C145" i="2"/>
  <c r="E144" i="2" a="1"/>
  <c r="E144" i="2" s="1"/>
  <c r="C144" i="2"/>
  <c r="E143" i="2" a="1"/>
  <c r="E143" i="2" s="1"/>
  <c r="C143" i="2"/>
  <c r="E142" i="2" a="1"/>
  <c r="E142" i="2" s="1"/>
  <c r="C142" i="2"/>
  <c r="E141" i="2"/>
  <c r="E141" i="2" a="1"/>
  <c r="C141" i="2"/>
  <c r="E140" i="2" a="1"/>
  <c r="E140" i="2" s="1"/>
  <c r="C140" i="2"/>
  <c r="E139" i="2"/>
  <c r="E139" i="2" a="1"/>
  <c r="C139" i="2"/>
  <c r="E138" i="2" a="1"/>
  <c r="E138" i="2" s="1"/>
  <c r="C138" i="2"/>
  <c r="E137" i="2" a="1"/>
  <c r="E137" i="2" s="1"/>
  <c r="C137" i="2"/>
  <c r="E136" i="2" a="1"/>
  <c r="E136" i="2" s="1"/>
  <c r="C136" i="2"/>
  <c r="E135" i="2" a="1"/>
  <c r="E135" i="2" s="1"/>
  <c r="C135" i="2"/>
  <c r="E134" i="2"/>
  <c r="E134" i="2" a="1"/>
  <c r="C134" i="2"/>
  <c r="E133" i="2" a="1"/>
  <c r="E133" i="2" s="1"/>
  <c r="C133" i="2"/>
  <c r="E132" i="2" a="1"/>
  <c r="E132" i="2" s="1"/>
  <c r="C132" i="2"/>
  <c r="E131" i="2" a="1"/>
  <c r="E131" i="2" s="1"/>
  <c r="C131" i="2"/>
  <c r="E130" i="2"/>
  <c r="E130" i="2" a="1"/>
  <c r="C130" i="2"/>
  <c r="E129" i="2" a="1"/>
  <c r="E129" i="2" s="1"/>
  <c r="C129" i="2"/>
  <c r="E128" i="2" a="1"/>
  <c r="E128" i="2" s="1"/>
  <c r="C128" i="2"/>
  <c r="E127" i="2" a="1"/>
  <c r="E127" i="2" s="1"/>
  <c r="C127" i="2"/>
  <c r="E126" i="2" a="1"/>
  <c r="E126" i="2" s="1"/>
  <c r="C126" i="2"/>
  <c r="E125" i="2" a="1"/>
  <c r="E125" i="2" s="1"/>
  <c r="C125" i="2"/>
  <c r="E124" i="2"/>
  <c r="E124" i="2" a="1"/>
  <c r="C124" i="2"/>
  <c r="E123" i="2"/>
  <c r="E123" i="2" a="1"/>
  <c r="C123" i="2"/>
  <c r="E122" i="2" a="1"/>
  <c r="E122" i="2" s="1"/>
  <c r="C122" i="2"/>
  <c r="E121" i="2" a="1"/>
  <c r="E121" i="2" s="1"/>
  <c r="C121" i="2"/>
  <c r="E120" i="2" a="1"/>
  <c r="E120" i="2" s="1"/>
  <c r="C120" i="2"/>
  <c r="E119" i="2"/>
  <c r="E119" i="2" a="1"/>
  <c r="C119" i="2"/>
  <c r="E118" i="2" a="1"/>
  <c r="E118" i="2" s="1"/>
  <c r="C118" i="2"/>
  <c r="E117" i="2"/>
  <c r="E117" i="2" a="1"/>
  <c r="C117" i="2"/>
  <c r="E116" i="2"/>
  <c r="E116" i="2" a="1"/>
  <c r="C116" i="2"/>
  <c r="E115" i="2" a="1"/>
  <c r="E115" i="2" s="1"/>
  <c r="C115" i="2"/>
  <c r="E114" i="2" a="1"/>
  <c r="E114" i="2" s="1"/>
  <c r="C114" i="2"/>
  <c r="E113" i="2" a="1"/>
  <c r="E113" i="2" s="1"/>
  <c r="C113" i="2"/>
  <c r="E112" i="2" a="1"/>
  <c r="E112" i="2" s="1"/>
  <c r="C112" i="2"/>
  <c r="E111" i="2" a="1"/>
  <c r="E111" i="2" s="1"/>
  <c r="C111" i="2"/>
  <c r="E110" i="2" a="1"/>
  <c r="E110" i="2" s="1"/>
  <c r="C110" i="2"/>
  <c r="E109" i="2" a="1"/>
  <c r="E109" i="2" s="1"/>
  <c r="C109" i="2"/>
  <c r="E108" i="2"/>
  <c r="E108" i="2" a="1"/>
  <c r="C108" i="2"/>
  <c r="E107" i="2"/>
  <c r="E107" i="2" a="1"/>
  <c r="C107" i="2"/>
  <c r="E106" i="2"/>
  <c r="E106" i="2" a="1"/>
  <c r="C106" i="2"/>
  <c r="E105" i="2" a="1"/>
  <c r="E105" i="2" s="1"/>
  <c r="C105" i="2"/>
  <c r="E104" i="2" a="1"/>
  <c r="E104" i="2" s="1"/>
  <c r="C104" i="2"/>
  <c r="E103" i="2" a="1"/>
  <c r="E103" i="2" s="1"/>
  <c r="C103" i="2"/>
  <c r="E102" i="2" a="1"/>
  <c r="E102" i="2" s="1"/>
  <c r="C102" i="2"/>
  <c r="E101" i="2"/>
  <c r="E101" i="2" a="1"/>
  <c r="C101" i="2"/>
  <c r="E100" i="2"/>
  <c r="E100" i="2" a="1"/>
  <c r="C100" i="2"/>
  <c r="E99" i="2"/>
  <c r="E99" i="2" a="1"/>
  <c r="C99" i="2"/>
  <c r="E98" i="2" a="1"/>
  <c r="E98" i="2" s="1"/>
  <c r="C98" i="2"/>
  <c r="E97" i="2" a="1"/>
  <c r="E97" i="2" s="1"/>
  <c r="C97" i="2"/>
  <c r="E96" i="2" a="1"/>
  <c r="E96" i="2" s="1"/>
  <c r="C96" i="2"/>
  <c r="E95" i="2" a="1"/>
  <c r="E95" i="2" s="1"/>
  <c r="C95" i="2"/>
  <c r="E94" i="2"/>
  <c r="E94" i="2" a="1"/>
  <c r="C94" i="2"/>
  <c r="E93" i="2"/>
  <c r="E93" i="2" a="1"/>
  <c r="C93" i="2"/>
  <c r="E92" i="2" a="1"/>
  <c r="E92" i="2" s="1"/>
  <c r="C92" i="2"/>
  <c r="E91" i="2" a="1"/>
  <c r="E91" i="2" s="1"/>
  <c r="C91" i="2"/>
  <c r="E90" i="2" a="1"/>
  <c r="E90" i="2" s="1"/>
  <c r="C90" i="2"/>
  <c r="E89" i="2" a="1"/>
  <c r="E89" i="2" s="1"/>
  <c r="C89" i="2"/>
  <c r="E88" i="2" a="1"/>
  <c r="E88" i="2" s="1"/>
  <c r="C88" i="2"/>
  <c r="E87" i="2" a="1"/>
  <c r="E87" i="2" s="1"/>
  <c r="C87" i="2"/>
  <c r="E86" i="2" a="1"/>
  <c r="E86" i="2" s="1"/>
  <c r="C86" i="2"/>
  <c r="E85" i="2" a="1"/>
  <c r="E85" i="2" s="1"/>
  <c r="C85" i="2"/>
  <c r="E84" i="2" a="1"/>
  <c r="E84" i="2" s="1"/>
  <c r="C84" i="2"/>
  <c r="E83" i="2" a="1"/>
  <c r="E83" i="2" s="1"/>
  <c r="C83" i="2"/>
  <c r="E82" i="2" a="1"/>
  <c r="E82" i="2" s="1"/>
  <c r="C82" i="2"/>
  <c r="E81" i="2" a="1"/>
  <c r="E81" i="2" s="1"/>
  <c r="C81" i="2"/>
  <c r="E80" i="2" a="1"/>
  <c r="E80" i="2" s="1"/>
  <c r="C80" i="2"/>
  <c r="E79" i="2"/>
  <c r="E79" i="2" a="1"/>
  <c r="C79" i="2"/>
  <c r="E78" i="2" a="1"/>
  <c r="E78" i="2" s="1"/>
  <c r="C78" i="2"/>
  <c r="E77" i="2" a="1"/>
  <c r="E77" i="2" s="1"/>
  <c r="C77" i="2"/>
  <c r="E76" i="2" a="1"/>
  <c r="E76" i="2" s="1"/>
  <c r="C76" i="2"/>
  <c r="E75" i="2" a="1"/>
  <c r="E75" i="2" s="1"/>
  <c r="C75" i="2"/>
  <c r="E74" i="2" a="1"/>
  <c r="E74" i="2" s="1"/>
  <c r="C74" i="2"/>
  <c r="E73" i="2" a="1"/>
  <c r="E73" i="2" s="1"/>
  <c r="C73" i="2"/>
  <c r="E72" i="2" a="1"/>
  <c r="E72" i="2" s="1"/>
  <c r="C72" i="2"/>
  <c r="E71" i="2" a="1"/>
  <c r="E71" i="2" s="1"/>
  <c r="C71" i="2"/>
  <c r="E70" i="2"/>
  <c r="E70" i="2" a="1"/>
  <c r="C70" i="2"/>
  <c r="E69" i="2" a="1"/>
  <c r="E69" i="2" s="1"/>
  <c r="C69" i="2"/>
  <c r="E68" i="2"/>
  <c r="E68" i="2" a="1"/>
  <c r="C68" i="2"/>
  <c r="E67" i="2"/>
  <c r="E67" i="2" a="1"/>
  <c r="C67" i="2"/>
  <c r="E66" i="2"/>
  <c r="E66" i="2" a="1"/>
  <c r="C66" i="2"/>
  <c r="E65" i="2" a="1"/>
  <c r="E65" i="2" s="1"/>
  <c r="C65" i="2"/>
  <c r="E64" i="2"/>
  <c r="E64" i="2" a="1"/>
  <c r="C64" i="2"/>
  <c r="E63" i="2"/>
  <c r="E63" i="2" a="1"/>
  <c r="C63" i="2"/>
  <c r="E62" i="2" a="1"/>
  <c r="E62" i="2" s="1"/>
  <c r="C62" i="2"/>
  <c r="E61" i="2"/>
  <c r="E61" i="2" a="1"/>
  <c r="C61" i="2"/>
  <c r="E60" i="2"/>
  <c r="E60" i="2" a="1"/>
  <c r="C60" i="2"/>
  <c r="E59" i="2"/>
  <c r="E59" i="2" a="1"/>
  <c r="C59" i="2"/>
  <c r="E58" i="2" a="1"/>
  <c r="E58" i="2" s="1"/>
  <c r="C58" i="2"/>
  <c r="E57" i="2"/>
  <c r="E57" i="2" a="1"/>
  <c r="C57" i="2"/>
  <c r="E56" i="2"/>
  <c r="E56" i="2" a="1"/>
  <c r="C56" i="2"/>
  <c r="E55" i="2" a="1"/>
  <c r="E55" i="2" s="1"/>
  <c r="C55" i="2"/>
  <c r="E54" i="2"/>
  <c r="E54" i="2" a="1"/>
  <c r="C54" i="2"/>
  <c r="E53" i="2"/>
  <c r="E53" i="2" a="1"/>
  <c r="C53" i="2"/>
  <c r="E52" i="2" a="1"/>
  <c r="E52" i="2" s="1"/>
  <c r="C52" i="2"/>
  <c r="E51" i="2" a="1"/>
  <c r="E51" i="2" s="1"/>
  <c r="C51" i="2"/>
  <c r="E50" i="2" a="1"/>
  <c r="E50" i="2" s="1"/>
  <c r="C50" i="2"/>
  <c r="E49" i="2" a="1"/>
  <c r="E49" i="2" s="1"/>
  <c r="C49" i="2"/>
  <c r="E48" i="2"/>
  <c r="E48" i="2" a="1"/>
  <c r="C48" i="2"/>
  <c r="E47" i="2" a="1"/>
  <c r="E47" i="2" s="1"/>
  <c r="C47" i="2"/>
  <c r="E46" i="2" a="1"/>
  <c r="E46" i="2" s="1"/>
  <c r="C46" i="2"/>
  <c r="E45" i="2" a="1"/>
  <c r="E45" i="2" s="1"/>
  <c r="C45" i="2"/>
  <c r="E44" i="2" a="1"/>
  <c r="E44" i="2" s="1"/>
  <c r="C44" i="2"/>
  <c r="E43" i="2" a="1"/>
  <c r="E43" i="2" s="1"/>
  <c r="C43" i="2"/>
  <c r="E42" i="2" a="1"/>
  <c r="E42" i="2" s="1"/>
  <c r="C42" i="2"/>
  <c r="E41" i="2"/>
  <c r="E41" i="2" a="1"/>
  <c r="C41" i="2"/>
  <c r="E40" i="2" a="1"/>
  <c r="E40" i="2" s="1"/>
  <c r="C40" i="2"/>
  <c r="E39" i="2"/>
  <c r="E39" i="2" a="1"/>
  <c r="C39" i="2"/>
  <c r="E38" i="2" a="1"/>
  <c r="E38" i="2" s="1"/>
  <c r="C38" i="2"/>
  <c r="E37" i="2" a="1"/>
  <c r="E37" i="2" s="1"/>
  <c r="C37" i="2"/>
  <c r="E36" i="2" a="1"/>
  <c r="E36" i="2" s="1"/>
  <c r="C36" i="2"/>
  <c r="E35" i="2" a="1"/>
  <c r="E35" i="2" s="1"/>
  <c r="C35" i="2"/>
  <c r="E34" i="2"/>
  <c r="E34" i="2" a="1"/>
  <c r="C34" i="2"/>
  <c r="E33" i="2" a="1"/>
  <c r="E33" i="2" s="1"/>
  <c r="C33" i="2"/>
  <c r="E32" i="2" a="1"/>
  <c r="E32" i="2" s="1"/>
  <c r="C32" i="2"/>
  <c r="E31" i="2" a="1"/>
  <c r="E31" i="2" s="1"/>
  <c r="C31" i="2"/>
  <c r="E30" i="2"/>
  <c r="E30" i="2" a="1"/>
  <c r="C30" i="2"/>
  <c r="E29" i="2" a="1"/>
  <c r="E29" i="2" s="1"/>
  <c r="C29" i="2"/>
  <c r="E28" i="2" a="1"/>
  <c r="E28" i="2" s="1"/>
  <c r="C28" i="2"/>
  <c r="E27" i="2" a="1"/>
  <c r="E27" i="2" s="1"/>
  <c r="C27" i="2"/>
  <c r="E26" i="2" a="1"/>
  <c r="E26" i="2" s="1"/>
  <c r="C26" i="2"/>
  <c r="E25" i="2" a="1"/>
  <c r="E25" i="2" s="1"/>
  <c r="C25" i="2"/>
  <c r="E24" i="2"/>
  <c r="E24" i="2" a="1"/>
  <c r="C24" i="2"/>
  <c r="E23" i="2"/>
  <c r="E23" i="2" a="1"/>
  <c r="C23" i="2"/>
  <c r="E22" i="2" a="1"/>
  <c r="E22" i="2" s="1"/>
  <c r="C22" i="2"/>
  <c r="E21" i="2" a="1"/>
  <c r="E21" i="2" s="1"/>
  <c r="C21" i="2"/>
  <c r="E20" i="2" a="1"/>
  <c r="E20" i="2" s="1"/>
  <c r="C20" i="2"/>
  <c r="E19" i="2"/>
  <c r="E19" i="2" a="1"/>
  <c r="C19" i="2"/>
  <c r="E18" i="2" a="1"/>
  <c r="E18" i="2" s="1"/>
  <c r="C18" i="2"/>
  <c r="E17" i="2"/>
  <c r="E17" i="2" a="1"/>
  <c r="C17" i="2"/>
  <c r="E16" i="2"/>
  <c r="E16" i="2" a="1"/>
  <c r="C16" i="2"/>
  <c r="E15" i="2" a="1"/>
  <c r="E15" i="2" s="1"/>
  <c r="C15" i="2"/>
  <c r="E14" i="2" a="1"/>
  <c r="E14" i="2" s="1"/>
  <c r="C14" i="2"/>
  <c r="E13" i="2" a="1"/>
  <c r="E13" i="2" s="1"/>
  <c r="C13" i="2"/>
  <c r="E12" i="2" a="1"/>
  <c r="E12" i="2" s="1"/>
  <c r="C12" i="2"/>
  <c r="E11" i="2" a="1"/>
  <c r="E11" i="2" s="1"/>
  <c r="C11" i="2"/>
  <c r="E10" i="2" a="1"/>
  <c r="E10" i="2" s="1"/>
  <c r="C10" i="2"/>
  <c r="E9" i="2" a="1"/>
  <c r="E9" i="2" s="1"/>
  <c r="C9" i="2"/>
  <c r="E8" i="2"/>
  <c r="E8" i="2" a="1"/>
  <c r="C8" i="2"/>
  <c r="E7" i="2"/>
  <c r="E7" i="2" a="1"/>
  <c r="C7" i="2"/>
  <c r="E6" i="2"/>
  <c r="E6" i="2" a="1"/>
  <c r="C6" i="2"/>
  <c r="E5" i="2" a="1"/>
  <c r="E5" i="2" s="1"/>
  <c r="C5" i="2"/>
  <c r="E4" i="2" a="1"/>
  <c r="E4" i="2" s="1"/>
  <c r="C4" i="2"/>
  <c r="E3" i="2" a="1"/>
  <c r="E3" i="2" s="1"/>
  <c r="C3" i="2"/>
  <c r="E2" i="2" a="1"/>
  <c r="E2" i="2" s="1"/>
  <c r="C2" i="2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<sst xmlns="http://schemas.openxmlformats.org/spreadsheetml/2006/main" count="7501" uniqueCount="5563">
  <si>
    <t>id</t>
  </si>
  <si>
    <t>customer_id</t>
  </si>
  <si>
    <t>customer_name</t>
  </si>
  <si>
    <t>original_company</t>
  </si>
  <si>
    <t>name</t>
  </si>
  <si>
    <t>title</t>
  </si>
  <si>
    <t>email</t>
  </si>
  <si>
    <t>mobile</t>
  </si>
  <si>
    <t>phone</t>
  </si>
  <si>
    <t>is_primary</t>
  </si>
  <si>
    <t>(Cobra) Railroad Friction Products Corporation</t>
  </si>
  <si>
    <t>Blake Caldwell</t>
  </si>
  <si>
    <t>bcaldwell@wabtec.com</t>
  </si>
  <si>
    <t>910-280-0024</t>
  </si>
  <si>
    <t>910-844-9721</t>
  </si>
  <si>
    <t>/ Advanced Print Technologies</t>
  </si>
  <si>
    <t>Ike Covin</t>
  </si>
  <si>
    <t>ike@aptpress.com</t>
  </si>
  <si>
    <t>302-893-1893</t>
  </si>
  <si>
    <t>/ Nichols Mold Inc.</t>
  </si>
  <si>
    <t>matt somerville</t>
  </si>
  <si>
    <t>matthew.s@nicholsmold.com</t>
  </si>
  <si>
    <t>/ Nidec Canton Elevator</t>
  </si>
  <si>
    <t>Dave Jones</t>
  </si>
  <si>
    <t>dave.jones@nidec-canton.com</t>
  </si>
  <si>
    <t>/ Willoughby Manufacturing Inc.</t>
  </si>
  <si>
    <t>Travis Willoughby</t>
  </si>
  <si>
    <t>willoughbymanufacturing@msn.com</t>
  </si>
  <si>
    <t>A&amp;B Import Export, Inc.</t>
  </si>
  <si>
    <t>Amir Sattar</t>
  </si>
  <si>
    <t>amir@abiei.com</t>
  </si>
  <si>
    <t>954-762-9100</t>
  </si>
  <si>
    <t>Luccia Sattar</t>
  </si>
  <si>
    <t>luccia@abiei.com</t>
  </si>
  <si>
    <t>954-588-2320</t>
  </si>
  <si>
    <t>A.R.E. Inc</t>
  </si>
  <si>
    <t>Andrew Rohr</t>
  </si>
  <si>
    <t>arohr@4are.com</t>
  </si>
  <si>
    <t>330-327-8862</t>
  </si>
  <si>
    <t>330-830-7800 x2447</t>
  </si>
  <si>
    <t>Bill Norton</t>
  </si>
  <si>
    <t>bnorton@4are.com</t>
  </si>
  <si>
    <t>330-830-7800 x5023</t>
  </si>
  <si>
    <t>Bob Trostle</t>
  </si>
  <si>
    <t>bob@rjt-consulting.com</t>
  </si>
  <si>
    <t>814-241-6417</t>
  </si>
  <si>
    <t>Carey Price</t>
  </si>
  <si>
    <t>cprice@4are.com</t>
  </si>
  <si>
    <t>330-591-0864</t>
  </si>
  <si>
    <t>330-830-7800 x2526</t>
  </si>
  <si>
    <t>Charlie Long</t>
  </si>
  <si>
    <t>clong@4are.com</t>
  </si>
  <si>
    <t>330-447-6532</t>
  </si>
  <si>
    <t>330-830-7800 x3442</t>
  </si>
  <si>
    <t>Steve Krider</t>
  </si>
  <si>
    <t>stevekr@4are.com</t>
  </si>
  <si>
    <t>330-205-0276</t>
  </si>
  <si>
    <t>Aakash Patel</t>
  </si>
  <si>
    <t>aakashdotpatel@gmail.com</t>
  </si>
  <si>
    <t>614-535-7694</t>
  </si>
  <si>
    <t>Aaron Equipment Company, Inc.</t>
  </si>
  <si>
    <t>Edward Joers</t>
  </si>
  <si>
    <t>ejoers@aaronequipment.com</t>
  </si>
  <si>
    <t>AB Sustentable Ambiental</t>
  </si>
  <si>
    <t>Cesar Mora</t>
  </si>
  <si>
    <t>director.planta@absa.com.mx</t>
  </si>
  <si>
    <t>Accel Group</t>
  </si>
  <si>
    <t>Jim Terranova</t>
  </si>
  <si>
    <t>jimet@accelgrp.com</t>
  </si>
  <si>
    <t>330-336- 1224 Ext. 2109/</t>
  </si>
  <si>
    <t>Robin McFarlin</t>
  </si>
  <si>
    <t>robm@accelgrp.com</t>
  </si>
  <si>
    <t>3303360317 ext 2114</t>
  </si>
  <si>
    <t>Accurate Steel</t>
  </si>
  <si>
    <t>John Rufener</t>
  </si>
  <si>
    <t>jrufener@acsteel.net</t>
  </si>
  <si>
    <t>330-562-5505</t>
  </si>
  <si>
    <t>ACE Products &amp; Consulting</t>
  </si>
  <si>
    <t>Erick Sharp</t>
  </si>
  <si>
    <t>erick.sharp@outlook.com</t>
  </si>
  <si>
    <t>740-630-7539</t>
  </si>
  <si>
    <t>Additive Engineering Solutions</t>
  </si>
  <si>
    <t>Nick Luther</t>
  </si>
  <si>
    <t>440-214-5830</t>
  </si>
  <si>
    <t>800-210-9801</t>
  </si>
  <si>
    <t>ADJ Industries</t>
  </si>
  <si>
    <t>Christian Seabrook</t>
  </si>
  <si>
    <t>cseabrook@adjindustries.com</t>
  </si>
  <si>
    <t>519-495-8150</t>
  </si>
  <si>
    <t>Advanced Coldforming Inc</t>
  </si>
  <si>
    <t>Steve Barek</t>
  </si>
  <si>
    <t>sbarek@acfmemphis.net</t>
  </si>
  <si>
    <t>Advanced Machinery</t>
  </si>
  <si>
    <t>Mark Allen</t>
  </si>
  <si>
    <t>mhallen@advancedmachinery.com</t>
  </si>
  <si>
    <t>330-690-1153</t>
  </si>
  <si>
    <t>440-354-5056</t>
  </si>
  <si>
    <t>Advanced Poly Packaging</t>
  </si>
  <si>
    <t>Chris Tackett</t>
  </si>
  <si>
    <t>christ@advancedpoly.com</t>
  </si>
  <si>
    <t>330-608-5664</t>
  </si>
  <si>
    <t>Advanced Technology</t>
  </si>
  <si>
    <t>Nicholas Pytel</t>
  </si>
  <si>
    <t>khoffman@4-app.com</t>
  </si>
  <si>
    <t>814-470-8734</t>
  </si>
  <si>
    <t>Advanced Transport</t>
  </si>
  <si>
    <t>Manny Zapata</t>
  </si>
  <si>
    <t>manny@advtransports.com</t>
  </si>
  <si>
    <t>626-310-1102</t>
  </si>
  <si>
    <t>Air Force One</t>
  </si>
  <si>
    <t>Ken Height</t>
  </si>
  <si>
    <t>kheight@airforceone.com</t>
  </si>
  <si>
    <t>419-957-3869</t>
  </si>
  <si>
    <t>Akro-Mills</t>
  </si>
  <si>
    <t>Marty Geul</t>
  </si>
  <si>
    <t>mgeul@akro-mils.com</t>
  </si>
  <si>
    <t>330-697-0603</t>
  </si>
  <si>
    <t>Akron Polymer Products, Inc.</t>
  </si>
  <si>
    <t>Eric Hurd</t>
  </si>
  <si>
    <t>ehurd@s-aindustries.com</t>
  </si>
  <si>
    <t>330-622-2555</t>
  </si>
  <si>
    <t>Tom Valentine</t>
  </si>
  <si>
    <t>tvalentine@akronpolymer.com</t>
  </si>
  <si>
    <t>330-407-3011</t>
  </si>
  <si>
    <t>330-733-6040 ext 1119</t>
  </si>
  <si>
    <t>Akron Tool &amp; Die</t>
  </si>
  <si>
    <t>Steve Spengler</t>
  </si>
  <si>
    <t>sspengler@akrontool.com</t>
  </si>
  <si>
    <t>330-726-9269</t>
  </si>
  <si>
    <t>Alexander's Mobility Service</t>
  </si>
  <si>
    <t>Desiree Burnette</t>
  </si>
  <si>
    <t>dburnette@alexanders.net</t>
  </si>
  <si>
    <t>410-406-9199</t>
  </si>
  <si>
    <t>Alfe Heat Treating</t>
  </si>
  <si>
    <t>Chuck Silvey</t>
  </si>
  <si>
    <t>330-336-0211</t>
  </si>
  <si>
    <t>John Budner</t>
  </si>
  <si>
    <t>jbudner@al-fe.com</t>
  </si>
  <si>
    <t>330-336-0211 x30</t>
  </si>
  <si>
    <t>ALL Crane</t>
  </si>
  <si>
    <t>Brian Meek</t>
  </si>
  <si>
    <t>bmeek@allcleveland.com</t>
  </si>
  <si>
    <t>216-210-7900</t>
  </si>
  <si>
    <t>216-524-6550</t>
  </si>
  <si>
    <t>Mike Garrity</t>
  </si>
  <si>
    <t>mgarrity@allcleveland.com</t>
  </si>
  <si>
    <t>216-219-4800</t>
  </si>
  <si>
    <t>330-659-9600</t>
  </si>
  <si>
    <t>All Metal Fabrications LLC</t>
  </si>
  <si>
    <t>James Grossi</t>
  </si>
  <si>
    <t>jgrossi@salem-republic.com</t>
  </si>
  <si>
    <t>Jim Grossi</t>
  </si>
  <si>
    <t>330-316-9981</t>
  </si>
  <si>
    <t>330-938-9801</t>
  </si>
  <si>
    <t>All Ohio Threaded Rod</t>
  </si>
  <si>
    <t>Darrell Zielinski</t>
  </si>
  <si>
    <t>darrellzielinski@allohiorod.com</t>
  </si>
  <si>
    <t>216-407-9377</t>
  </si>
  <si>
    <t>Allied Mineral Products</t>
  </si>
  <si>
    <t>John Workman</t>
  </si>
  <si>
    <t>john.workman@alliedmin.com</t>
  </si>
  <si>
    <t>614-314-5938</t>
  </si>
  <si>
    <t>614-876-0244</t>
  </si>
  <si>
    <t>Allways Precision Inc.</t>
  </si>
  <si>
    <t>Pam Pettucci</t>
  </si>
  <si>
    <t>815-577-1600</t>
  </si>
  <si>
    <t>ALP Industries, Inc</t>
  </si>
  <si>
    <t>Bruce Navin</t>
  </si>
  <si>
    <t>bjnavin@alpindustries.com</t>
  </si>
  <si>
    <t>484-459-8067</t>
  </si>
  <si>
    <t>717-657-7700</t>
  </si>
  <si>
    <t>Warren Grubb</t>
  </si>
  <si>
    <t>wkgrubb@alpindustries.com</t>
  </si>
  <si>
    <t>412-780-4244</t>
  </si>
  <si>
    <t>412-364-3300</t>
  </si>
  <si>
    <t>Alpha Baking</t>
  </si>
  <si>
    <t>Darek Cup</t>
  </si>
  <si>
    <t>dcup@alphabaking.com</t>
  </si>
  <si>
    <t>773-875-5450</t>
  </si>
  <si>
    <t>Lawrence Marcucci</t>
  </si>
  <si>
    <t>lmarcucci@alphabaking.com</t>
  </si>
  <si>
    <t>773-837-7258</t>
  </si>
  <si>
    <t>773-261-6000</t>
  </si>
  <si>
    <t>Alpha Packaging</t>
  </si>
  <si>
    <t>Jerry Litchney</t>
  </si>
  <si>
    <t>jerry.litchney@alphap.com</t>
  </si>
  <si>
    <t>216-658-1068</t>
  </si>
  <si>
    <t>Alpha Tool &amp; Mold</t>
  </si>
  <si>
    <t>Jason Hamilton</t>
  </si>
  <si>
    <t>office_manager@alphatoolandmold.com</t>
  </si>
  <si>
    <t>330-527-2986</t>
  </si>
  <si>
    <t>Robert Pischel</t>
  </si>
  <si>
    <t>Robert.P@AlphaToolAndMold.com</t>
  </si>
  <si>
    <t>440-473-2343</t>
  </si>
  <si>
    <t>Alterra Energy</t>
  </si>
  <si>
    <t>Maria Belicak</t>
  </si>
  <si>
    <t>maria.belicak@alterra360.com</t>
  </si>
  <si>
    <t>440-390-2689</t>
  </si>
  <si>
    <t>Michael Nolte</t>
  </si>
  <si>
    <t>michael.nolte@alterra360.com</t>
  </si>
  <si>
    <t>330-422-8875</t>
  </si>
  <si>
    <t>Will Jones</t>
  </si>
  <si>
    <t>will.jones@alterraenergy.com</t>
  </si>
  <si>
    <t>419-722-0449</t>
  </si>
  <si>
    <t>American Engineering &amp; Metalworking</t>
  </si>
  <si>
    <t>Kirk McCauley</t>
  </si>
  <si>
    <t>kirk@aemquality.com</t>
  </si>
  <si>
    <t>330-904-5903</t>
  </si>
  <si>
    <t>330-305-1311</t>
  </si>
  <si>
    <t>American Friction Technologies</t>
  </si>
  <si>
    <t>Dean Williams</t>
  </si>
  <si>
    <t>dean.williams@americanfriction.net</t>
  </si>
  <si>
    <t>216-823-0861</t>
  </si>
  <si>
    <t>American Molded Plastic</t>
  </si>
  <si>
    <t>James Allen</t>
  </si>
  <si>
    <t>meatball2433@aol.com</t>
  </si>
  <si>
    <t>Analyte Scientific</t>
  </si>
  <si>
    <t>MD Gousuddin</t>
  </si>
  <si>
    <t>info@analytescientific.com</t>
  </si>
  <si>
    <t>603-809-0603</t>
  </si>
  <si>
    <t>Andersen Corporation</t>
  </si>
  <si>
    <t>Doug Studt</t>
  </si>
  <si>
    <t>douglas.studt@andersencorp.com</t>
  </si>
  <si>
    <t>330-221-9572</t>
  </si>
  <si>
    <t>Appalachian Hardwood Lumber Company</t>
  </si>
  <si>
    <t>Mike Arndt</t>
  </si>
  <si>
    <t>m.arndt.ahlc@outlook.com</t>
  </si>
  <si>
    <t>440-231-5141</t>
  </si>
  <si>
    <t>Sean Clark</t>
  </si>
  <si>
    <t>sclark08@yahoo.com</t>
  </si>
  <si>
    <t>440-232-6767</t>
  </si>
  <si>
    <t>Applied Foundry Solutions</t>
  </si>
  <si>
    <t>Matt Via</t>
  </si>
  <si>
    <t>937-233-4120</t>
  </si>
  <si>
    <t>APV Engineered Coatings</t>
  </si>
  <si>
    <t>Michael Phillips</t>
  </si>
  <si>
    <t>mphillips@apvcoatings.com</t>
  </si>
  <si>
    <t>330-310-7223</t>
  </si>
  <si>
    <t>330-773-8911</t>
  </si>
  <si>
    <t>Mike Phillips</t>
  </si>
  <si>
    <t>Tom Venarge</t>
  </si>
  <si>
    <t>tvenarge@apvcoatings.com</t>
  </si>
  <si>
    <t>Arc-Heat</t>
  </si>
  <si>
    <t>Timothy Tidwell</t>
  </si>
  <si>
    <t>t.tidwell@arc-heat.com</t>
  </si>
  <si>
    <t>404-736-6494</t>
  </si>
  <si>
    <t>Ariel Corporation</t>
  </si>
  <si>
    <t>Brian Bell</t>
  </si>
  <si>
    <t>bbell@arielcorp.com</t>
  </si>
  <si>
    <t>740-397-0311 x1149</t>
  </si>
  <si>
    <t>Jacob Glaser</t>
  </si>
  <si>
    <t>jglaser@arielcorp.com</t>
  </si>
  <si>
    <t>330-600-1089</t>
  </si>
  <si>
    <t>330-896-9530-Ext 2706</t>
  </si>
  <si>
    <t>Jim Grant</t>
  </si>
  <si>
    <t>jgrant@arielcorp.com</t>
  </si>
  <si>
    <t>740-397-0311</t>
  </si>
  <si>
    <t>Scott Stevens</t>
  </si>
  <si>
    <t>(740)504-2860</t>
  </si>
  <si>
    <t>Arlington Machinery</t>
  </si>
  <si>
    <t>Alan Clarke</t>
  </si>
  <si>
    <t>alan@arlingtonmachinery.com</t>
  </si>
  <si>
    <t>847-956-7300</t>
  </si>
  <si>
    <t>847-956-7301</t>
  </si>
  <si>
    <t>847-956-7302</t>
  </si>
  <si>
    <t>847-956-7303</t>
  </si>
  <si>
    <t>Jeff Norman</t>
  </si>
  <si>
    <t>jeff@arlingtonmachinery.com</t>
  </si>
  <si>
    <t>847-287-6944</t>
  </si>
  <si>
    <t>Arnco Pathway</t>
  </si>
  <si>
    <t>Greg Held</t>
  </si>
  <si>
    <t>Gheld@arnconet.com</t>
  </si>
  <si>
    <t>440-260-9830</t>
  </si>
  <si>
    <t>Arrow Tool &amp; Gage</t>
  </si>
  <si>
    <t>May Knight</t>
  </si>
  <si>
    <t>mknight@arrowtool.net</t>
  </si>
  <si>
    <t>918-438-3600</t>
  </si>
  <si>
    <t>ASC Industries</t>
  </si>
  <si>
    <t>Michael Zimmerman</t>
  </si>
  <si>
    <t>michael.zimmerman@firstbrandsgroup.com</t>
  </si>
  <si>
    <t>330-242-2480</t>
  </si>
  <si>
    <t>ATA Tools</t>
  </si>
  <si>
    <t>Rick Tichon</t>
  </si>
  <si>
    <t>330-928-7744</t>
  </si>
  <si>
    <t>Atlas Crane</t>
  </si>
  <si>
    <t>JOHN DIDONATO</t>
  </si>
  <si>
    <t>atlascrane62@yahoo.com</t>
  </si>
  <si>
    <t>440-336-7680</t>
  </si>
  <si>
    <t>Aurora Plastics</t>
  </si>
  <si>
    <t>Nathan King</t>
  </si>
  <si>
    <t>nking@auroraplastics.com</t>
  </si>
  <si>
    <t>832-544-4016</t>
  </si>
  <si>
    <t>Aurora Plastics LLC</t>
  </si>
  <si>
    <t>Matt M</t>
  </si>
  <si>
    <t>330-931-6676</t>
  </si>
  <si>
    <t>Automated Packaging</t>
  </si>
  <si>
    <t>Brad Yates</t>
  </si>
  <si>
    <t>brad.yates@autobag.com</t>
  </si>
  <si>
    <t>330-342-2000</t>
  </si>
  <si>
    <t>Jack Stock</t>
  </si>
  <si>
    <t>jack.stock@autobag.com</t>
  </si>
  <si>
    <t>Justin White</t>
  </si>
  <si>
    <t>justin.white@sealedair.com</t>
  </si>
  <si>
    <t>216-532-6886</t>
  </si>
  <si>
    <t>Keith Rush</t>
  </si>
  <si>
    <t>keith.rush@autobag.com</t>
  </si>
  <si>
    <t>330-486-5573</t>
  </si>
  <si>
    <t>330-528-1910</t>
  </si>
  <si>
    <t>Mark Doubell</t>
  </si>
  <si>
    <t>mark.doubell@sealedair.com</t>
  </si>
  <si>
    <t>330-351-1028</t>
  </si>
  <si>
    <t>Mark Drotos</t>
  </si>
  <si>
    <t>mark.drotos@autobag.com</t>
  </si>
  <si>
    <t>Timothy Schura</t>
  </si>
  <si>
    <t>tim.schura@autobag.com</t>
  </si>
  <si>
    <t>330-528-2904</t>
  </si>
  <si>
    <t>Avon Lake Sheet Metal Co Inc</t>
  </si>
  <si>
    <t>Gary Wightman</t>
  </si>
  <si>
    <t>440-933-3505 x212</t>
  </si>
  <si>
    <t>B.M. Rebuilders Inc.</t>
  </si>
  <si>
    <t>bob munn</t>
  </si>
  <si>
    <t>bmrebuild@aol.com</t>
  </si>
  <si>
    <t>Baker Parts</t>
  </si>
  <si>
    <t>Todd Watson</t>
  </si>
  <si>
    <t>tcwatson@bakerparts.com</t>
  </si>
  <si>
    <t>508-878-5436</t>
  </si>
  <si>
    <t>1.800.821.3841</t>
  </si>
  <si>
    <t>Bakery Equipment.com</t>
  </si>
  <si>
    <t>Richard Payne</t>
  </si>
  <si>
    <t>richard@bakeryequipment.com</t>
  </si>
  <si>
    <t>360-339-7318</t>
  </si>
  <si>
    <t>360-255-7467 x227</t>
  </si>
  <si>
    <t>Baking Enterprises</t>
  </si>
  <si>
    <t>Moyton Williams</t>
  </si>
  <si>
    <t>mwilliams@yummybakery.com</t>
  </si>
  <si>
    <t>516-263-0296</t>
  </si>
  <si>
    <t>920-3449-51</t>
  </si>
  <si>
    <t>Bayloff Stamped Products</t>
  </si>
  <si>
    <t>Devin McNeilly</t>
  </si>
  <si>
    <t>devinmcneilly@bayloff.com</t>
  </si>
  <si>
    <t>330-876-4511</t>
  </si>
  <si>
    <t>BB Blast Equipment Sales</t>
  </si>
  <si>
    <t>Bruce Boland</t>
  </si>
  <si>
    <t>Bboland33@gmail.com</t>
  </si>
  <si>
    <t>262-354-4394</t>
  </si>
  <si>
    <t>BBC Fasteners Inc</t>
  </si>
  <si>
    <t>Jerry Sullivan</t>
  </si>
  <si>
    <t>jerry@bbcfasteners.com</t>
  </si>
  <si>
    <t>708-205-8653</t>
  </si>
  <si>
    <t>Bearing Engineered Solutions</t>
  </si>
  <si>
    <t>charlie mannochio</t>
  </si>
  <si>
    <t>330-697-9227</t>
  </si>
  <si>
    <t>Becker Pumps Corp.</t>
  </si>
  <si>
    <t>Al Gordon</t>
  </si>
  <si>
    <t>al.gordon@beckerpumps.com</t>
  </si>
  <si>
    <t>330-940-1044</t>
  </si>
  <si>
    <t>Beckett Air</t>
  </si>
  <si>
    <t>Carmen Matias</t>
  </si>
  <si>
    <t>cmatias@beckettair.com</t>
  </si>
  <si>
    <t>216-903-6372</t>
  </si>
  <si>
    <t>Bemis North America</t>
  </si>
  <si>
    <t>Donald Matthews</t>
  </si>
  <si>
    <t>dematthews@bemis.com</t>
  </si>
  <si>
    <t>330-916-7252</t>
  </si>
  <si>
    <t>Benchmark Craftsman, Inc.</t>
  </si>
  <si>
    <t>Nate Sublett</t>
  </si>
  <si>
    <t>Beverage Industries</t>
  </si>
  <si>
    <t>John Langdon</t>
  </si>
  <si>
    <t>john@beverageindustries.com</t>
  </si>
  <si>
    <t>843-337-8553</t>
  </si>
  <si>
    <t>Tim Langdon</t>
  </si>
  <si>
    <t>919-412-2155</t>
  </si>
  <si>
    <t>Bi-Con Services Inc</t>
  </si>
  <si>
    <t>John Urdak</t>
  </si>
  <si>
    <t>jurdak@bi-conservices.com</t>
  </si>
  <si>
    <t>740-680-2206</t>
  </si>
  <si>
    <t>BIG Productions, Inc.</t>
  </si>
  <si>
    <t>Joanne Douglas</t>
  </si>
  <si>
    <t>jbdoug@bigproductionsinc.com</t>
  </si>
  <si>
    <t>440-835-8034</t>
  </si>
  <si>
    <t>Blades Machinery Co. Inc.</t>
  </si>
  <si>
    <t>Andy Storero</t>
  </si>
  <si>
    <t>astorero@bladesmachinery.com</t>
  </si>
  <si>
    <t>630-441-2007</t>
  </si>
  <si>
    <t>BM Rebuilders</t>
  </si>
  <si>
    <t>Bob Munn</t>
  </si>
  <si>
    <t>440-365-0790</t>
  </si>
  <si>
    <t>888-686-6237</t>
  </si>
  <si>
    <t>BMI CAD Services</t>
  </si>
  <si>
    <t>Jim Korner</t>
  </si>
  <si>
    <t>Jimbok718@gmail.com</t>
  </si>
  <si>
    <t>Bole Machinery Inc</t>
  </si>
  <si>
    <t>Abraham Kim</t>
  </si>
  <si>
    <t>abrahamkim@boleamerica.com</t>
  </si>
  <si>
    <t>234-237-7608</t>
  </si>
  <si>
    <t>Alfred Rak</t>
  </si>
  <si>
    <t>alfredrak@outlook.com</t>
  </si>
  <si>
    <t>330-983-4700</t>
  </si>
  <si>
    <t>Cyril Lang</t>
  </si>
  <si>
    <t>cyril@bole-machinery.com</t>
  </si>
  <si>
    <t>213-322-8054</t>
  </si>
  <si>
    <t>Hayden Patton</t>
  </si>
  <si>
    <t>haydenpayton@boleamerica.com</t>
  </si>
  <si>
    <t>Boneng Transmission</t>
  </si>
  <si>
    <t>Ashley Lovequist</t>
  </si>
  <si>
    <t>ashley.lovequist@boneng.com</t>
  </si>
  <si>
    <t>480-258-2764</t>
  </si>
  <si>
    <t>Boomerang Rubber Inc</t>
  </si>
  <si>
    <t>Bobby Brush</t>
  </si>
  <si>
    <t>bbrush@boomerangrubber.com</t>
  </si>
  <si>
    <t>937-693-4611</t>
  </si>
  <si>
    <t>BOS Innovations</t>
  </si>
  <si>
    <t>Craig Murray</t>
  </si>
  <si>
    <t>murrayc@bosinnovations.com</t>
  </si>
  <si>
    <t>519-465-5495</t>
  </si>
  <si>
    <t>Brackin Metalworks LLC</t>
  </si>
  <si>
    <t>Matt Bacorn</t>
  </si>
  <si>
    <t>matt@brackinmetalworks.com</t>
  </si>
  <si>
    <t>330-614-6342</t>
  </si>
  <si>
    <t>Bradley Stone</t>
  </si>
  <si>
    <t>Mario Jokic</t>
  </si>
  <si>
    <t>mario@bradley-stone.com</t>
  </si>
  <si>
    <t>216-527-9038</t>
  </si>
  <si>
    <t>Brainard Rivet</t>
  </si>
  <si>
    <t>Chris Morrison</t>
  </si>
  <si>
    <t>cmorrison@brainardrivet.com</t>
  </si>
  <si>
    <t>Bridgestone</t>
  </si>
  <si>
    <t>Bo Byers</t>
  </si>
  <si>
    <t>ByersBo@bfusa.com</t>
  </si>
  <si>
    <t>615-937-6884</t>
  </si>
  <si>
    <t>Scott Ingram</t>
  </si>
  <si>
    <t>IngramScott@bfusa.com</t>
  </si>
  <si>
    <t>252-246-7611</t>
  </si>
  <si>
    <t>Tony Dobbs</t>
  </si>
  <si>
    <t>dobbsanthony@bfusa.com</t>
  </si>
  <si>
    <t>615-937-6858</t>
  </si>
  <si>
    <t>Broco Products</t>
  </si>
  <si>
    <t>Steve Brown</t>
  </si>
  <si>
    <t>sbrown@brocoproducts.com</t>
  </si>
  <si>
    <t>216-780-5724</t>
  </si>
  <si>
    <t>Brost Foundry</t>
  </si>
  <si>
    <t>Steve Horvath</t>
  </si>
  <si>
    <t>steve@brostfoundry.com</t>
  </si>
  <si>
    <t>330-948-1516</t>
  </si>
  <si>
    <t>216-641-1131</t>
  </si>
  <si>
    <t>Buckeye Polymers</t>
  </si>
  <si>
    <t>Jason Proctor</t>
  </si>
  <si>
    <t>jproctor@buckeyepolymers.com</t>
  </si>
  <si>
    <t>330-410-9001</t>
  </si>
  <si>
    <t>Keith Bertok</t>
  </si>
  <si>
    <t>kbertok@buckeyepolymers.com</t>
  </si>
  <si>
    <t>330-247-8505</t>
  </si>
  <si>
    <t>Buckeye Tin</t>
  </si>
  <si>
    <t>Cameron Ekechi</t>
  </si>
  <si>
    <t>mekechi24@gmail.com</t>
  </si>
  <si>
    <t>440-384-4927</t>
  </si>
  <si>
    <t>Bullseye Calibration</t>
  </si>
  <si>
    <t>Nicholas Courdi</t>
  </si>
  <si>
    <t>ncourdi@comcast.com</t>
  </si>
  <si>
    <t>860-538-5379</t>
  </si>
  <si>
    <t>BULU</t>
  </si>
  <si>
    <t>Jesse Guth</t>
  </si>
  <si>
    <t>jesse@avidapparel.ca</t>
  </si>
  <si>
    <t>800-258-5404</t>
  </si>
  <si>
    <t>Busch Cremations</t>
  </si>
  <si>
    <t>Jim Busch</t>
  </si>
  <si>
    <t>caring@buschcares.com</t>
  </si>
  <si>
    <t>216-749-7450</t>
  </si>
  <si>
    <t>BV MFG</t>
  </si>
  <si>
    <t>William Wolford</t>
  </si>
  <si>
    <t>BMVDIES@ZOOMINTERNET.NET</t>
  </si>
  <si>
    <t>330-549-5331</t>
  </si>
  <si>
    <t>C&amp;B Machine</t>
  </si>
  <si>
    <t>Chad Blackwell</t>
  </si>
  <si>
    <t>330-602-7777</t>
  </si>
  <si>
    <t>C.H. Reed</t>
  </si>
  <si>
    <t>matt matuska</t>
  </si>
  <si>
    <t>mattmatuska@chreed.com</t>
  </si>
  <si>
    <t>Cabmat</t>
  </si>
  <si>
    <t>Matt Razinger</t>
  </si>
  <si>
    <t>matt.razinger@cabmat.com</t>
  </si>
  <si>
    <t>330-998-3327</t>
  </si>
  <si>
    <t>Mike Reger</t>
  </si>
  <si>
    <t>mike.reger@cabmat.com</t>
  </si>
  <si>
    <t>440-35-8477</t>
  </si>
  <si>
    <t>330-995-0010</t>
  </si>
  <si>
    <t>Capital Tire</t>
  </si>
  <si>
    <t>Vern Bair</t>
  </si>
  <si>
    <t>vbair@capitaltire.com</t>
  </si>
  <si>
    <t>330-243-2563</t>
  </si>
  <si>
    <t>Carlisle Brake &amp; Friction</t>
  </si>
  <si>
    <t>Bill Back</t>
  </si>
  <si>
    <t>918-739-2963</t>
  </si>
  <si>
    <t>Brooke Zavesky</t>
  </si>
  <si>
    <t>brooke.zavesky@cmcbf.com</t>
  </si>
  <si>
    <t>216-633-8563</t>
  </si>
  <si>
    <t>330-725-4941 ext 4276</t>
  </si>
  <si>
    <t>Michael Melesky</t>
  </si>
  <si>
    <t>michael.melesky@cmcbf.com</t>
  </si>
  <si>
    <t>330-635-3829</t>
  </si>
  <si>
    <t>Nick Asper</t>
  </si>
  <si>
    <t>216-315-1889</t>
  </si>
  <si>
    <t>Ryan Ribblett</t>
  </si>
  <si>
    <t>ribblett@carlislecbf.com</t>
  </si>
  <si>
    <t>216-645-2784</t>
  </si>
  <si>
    <t>330-725-4941 x4417</t>
  </si>
  <si>
    <t>Thomas Stewart</t>
  </si>
  <si>
    <t>tstewart@carlislecbf.com</t>
  </si>
  <si>
    <t>330-730-8192</t>
  </si>
  <si>
    <t>Tom Stewart</t>
  </si>
  <si>
    <t>Casco USA</t>
  </si>
  <si>
    <t>Alex Olschansky</t>
  </si>
  <si>
    <t>aolschansky@cascousa.com</t>
  </si>
  <si>
    <t>216-217-9750</t>
  </si>
  <si>
    <t>Dan Godbey</t>
  </si>
  <si>
    <t>dgodbey@cascousa.com</t>
  </si>
  <si>
    <t>330-888-9715</t>
  </si>
  <si>
    <t>330-233-1327</t>
  </si>
  <si>
    <t>George Chesney</t>
  </si>
  <si>
    <t>gchesney@cascousa.com</t>
  </si>
  <si>
    <t>330-425-2121</t>
  </si>
  <si>
    <t>Jon Holtgreven</t>
  </si>
  <si>
    <t>jholtgreven@cascousa.com</t>
  </si>
  <si>
    <t>Cassano's Pizza</t>
  </si>
  <si>
    <t>Hamzah Waahid</t>
  </si>
  <si>
    <t>hwaahid@cassanos.com</t>
  </si>
  <si>
    <t>765-559-8240</t>
  </si>
  <si>
    <t>Castle Heating &amp; Air, Inc.</t>
  </si>
  <si>
    <t>Caryn Werman</t>
  </si>
  <si>
    <t>caryn@imperialhvac.com</t>
  </si>
  <si>
    <t>440-498-1788 x26</t>
  </si>
  <si>
    <t>David Pitzo</t>
  </si>
  <si>
    <t>dpitzo@imperialhvac.com</t>
  </si>
  <si>
    <t>440-773-9072</t>
  </si>
  <si>
    <t>Chapin Custom Molding</t>
  </si>
  <si>
    <t>Chapin Manufacturing</t>
  </si>
  <si>
    <t>Ian Weatherbee</t>
  </si>
  <si>
    <t>iweatherbee@chapinmfg.com</t>
  </si>
  <si>
    <t>800-444-3140</t>
  </si>
  <si>
    <t>Chapman Associates</t>
  </si>
  <si>
    <t>Dean Chapman</t>
  </si>
  <si>
    <t>dchapman1@wi.rr.com</t>
  </si>
  <si>
    <t>414-570-9700</t>
  </si>
  <si>
    <t>CHOF School</t>
  </si>
  <si>
    <t>Tim Johnston</t>
  </si>
  <si>
    <t>timsj@chof.net</t>
  </si>
  <si>
    <t>651-353-4602</t>
  </si>
  <si>
    <t>Circon Enviromental</t>
  </si>
  <si>
    <t>Jeff f</t>
  </si>
  <si>
    <t>440-752-3398</t>
  </si>
  <si>
    <t>Cleveland Industrial Innovation</t>
  </si>
  <si>
    <t>Dawn Hauserman</t>
  </si>
  <si>
    <t>dhauserman@clevelandinnovation.com</t>
  </si>
  <si>
    <t>216-767-4577</t>
  </si>
  <si>
    <t>Joe Laumer</t>
  </si>
  <si>
    <t>jlaumer@clevelandinnovation.com</t>
  </si>
  <si>
    <t>216-346-0353</t>
  </si>
  <si>
    <t>Cleveland Industrial Recycling</t>
  </si>
  <si>
    <t>Jim Szoka</t>
  </si>
  <si>
    <t>cir_jszoka@yahoo.com</t>
  </si>
  <si>
    <t>216-319-8430</t>
  </si>
  <si>
    <t>Cleveland Punch &amp; Die Company</t>
  </si>
  <si>
    <t>Ed Kosinski</t>
  </si>
  <si>
    <t>ekosinski@clevelandpunch.com</t>
  </si>
  <si>
    <t>Cline Mechanical</t>
  </si>
  <si>
    <t>Anthony Cline</t>
  </si>
  <si>
    <t>tcline@clinemechanical.com</t>
  </si>
  <si>
    <t>330-714-8612</t>
  </si>
  <si>
    <t>Cory Cline</t>
  </si>
  <si>
    <t>ccline@clinemechanical.com</t>
  </si>
  <si>
    <t>33-606-9333</t>
  </si>
  <si>
    <t>Jeff Deremer</t>
  </si>
  <si>
    <t>jderemer@clinemechanical.com</t>
  </si>
  <si>
    <t>330-603-7125</t>
  </si>
  <si>
    <t>Clinton Aluminum</t>
  </si>
  <si>
    <t>Chris Murphy</t>
  </si>
  <si>
    <t>cmurphy@clintalum.com</t>
  </si>
  <si>
    <t>330-714-9679</t>
  </si>
  <si>
    <t>330-329-1516</t>
  </si>
  <si>
    <t>Neal Nehrenz</t>
  </si>
  <si>
    <t>nnehrenz@clintalum.com</t>
  </si>
  <si>
    <t>330-819-7381</t>
  </si>
  <si>
    <t>330-592-1216</t>
  </si>
  <si>
    <t>Timothy Logan</t>
  </si>
  <si>
    <t>tlogan@clintalum.com</t>
  </si>
  <si>
    <t>937-620-6594</t>
  </si>
  <si>
    <t>866-722-0445</t>
  </si>
  <si>
    <t>CLS Industrial</t>
  </si>
  <si>
    <t>Marco Rios</t>
  </si>
  <si>
    <t>mrios@clsind.com</t>
  </si>
  <si>
    <t>281-217-8291</t>
  </si>
  <si>
    <t>Coast International Services, Inc</t>
  </si>
  <si>
    <t>Don Knosby</t>
  </si>
  <si>
    <t>donknosby@carolina.rr.com</t>
  </si>
  <si>
    <t>704-391-9109</t>
  </si>
  <si>
    <t>Cobra Plastics</t>
  </si>
  <si>
    <t>Dave Kerlee</t>
  </si>
  <si>
    <t>dkerlee@cobraplastics.com</t>
  </si>
  <si>
    <t>330-329-1230</t>
  </si>
  <si>
    <t>Jerry Bialko</t>
  </si>
  <si>
    <t>jbialko@cobraplastics.com</t>
  </si>
  <si>
    <t>330-425-4260 x11</t>
  </si>
  <si>
    <t>Matt Brewer</t>
  </si>
  <si>
    <t>mbrewer@cobraplastics.com</t>
  </si>
  <si>
    <t>330-425-4260 x1</t>
  </si>
  <si>
    <t>Cold Headed Fasteners &amp; Assembly</t>
  </si>
  <si>
    <t>Terry Tubbs</t>
  </si>
  <si>
    <t>330-833-0800</t>
  </si>
  <si>
    <t>Coleman Spohn Corp</t>
  </si>
  <si>
    <t>Chris Henderson</t>
  </si>
  <si>
    <t>chenderson@colemanspohn.com</t>
  </si>
  <si>
    <t>614-634-3527</t>
  </si>
  <si>
    <t>Marvin Clark</t>
  </si>
  <si>
    <t>mclark@colmanspohn.com</t>
  </si>
  <si>
    <t>216-431-8070</t>
  </si>
  <si>
    <t>Mike Pitzo</t>
  </si>
  <si>
    <t>mpitzo@colemanspohn.com</t>
  </si>
  <si>
    <t>614-940-9738</t>
  </si>
  <si>
    <t>Columbia Pulp</t>
  </si>
  <si>
    <t>Kyler Lovgren</t>
  </si>
  <si>
    <t>kyler.lovgren@columbiapulp.com</t>
  </si>
  <si>
    <t>512-525-5398</t>
  </si>
  <si>
    <t>Conduit Direct Group</t>
  </si>
  <si>
    <t>Gerald Beranek</t>
  </si>
  <si>
    <t>gerald@conduitdirectgroup.com</t>
  </si>
  <si>
    <t>319-512-9954</t>
  </si>
  <si>
    <t>Cooper Tire &amp; Rubber Company</t>
  </si>
  <si>
    <t>Tony Beall</t>
  </si>
  <si>
    <t>tbeall@goodyear.com</t>
  </si>
  <si>
    <t>567-525-6431</t>
  </si>
  <si>
    <t>Wesley Rushing</t>
  </si>
  <si>
    <t>dwrushing@goodyear.com</t>
  </si>
  <si>
    <t>662-681-6746</t>
  </si>
  <si>
    <t>Cooper Tire (Findlay)</t>
  </si>
  <si>
    <t>Andrew Smith</t>
  </si>
  <si>
    <t>ajsmith@cooptertire.com</t>
  </si>
  <si>
    <t>419-889-2114</t>
  </si>
  <si>
    <t>Brian Walton</t>
  </si>
  <si>
    <t>bewalton@coopertire.com</t>
  </si>
  <si>
    <t>419-581-0869</t>
  </si>
  <si>
    <t>419-420-6091</t>
  </si>
  <si>
    <t>Dan Fredricks</t>
  </si>
  <si>
    <t>419-423-1321</t>
  </si>
  <si>
    <t>Don Bruce</t>
  </si>
  <si>
    <t>dsbruce@coopertire.com</t>
  </si>
  <si>
    <t>Gene Richie</t>
  </si>
  <si>
    <t>meritchie@coopertire.com</t>
  </si>
  <si>
    <t>419-957-9641</t>
  </si>
  <si>
    <t>419-424-7383</t>
  </si>
  <si>
    <t>Jason R. Amos</t>
  </si>
  <si>
    <t>jramos@coopertire.com</t>
  </si>
  <si>
    <t>419-722-5210</t>
  </si>
  <si>
    <t>Jeff Palte</t>
  </si>
  <si>
    <t>jwpalte@coopertire.com</t>
  </si>
  <si>
    <t>419-420-6159</t>
  </si>
  <si>
    <t>John Russell</t>
  </si>
  <si>
    <t>jdrussell@coopertire.com</t>
  </si>
  <si>
    <t>Jon P. Barbara</t>
  </si>
  <si>
    <t>jpbarbara@coopertire.com</t>
  </si>
  <si>
    <t>Kevin Snyder</t>
  </si>
  <si>
    <t>kwsnyder@coopertire.com</t>
  </si>
  <si>
    <t>Luke Schroeder</t>
  </si>
  <si>
    <t>ltschroeder@coopertire.com</t>
  </si>
  <si>
    <t>419-890-5483</t>
  </si>
  <si>
    <t>Nick Shaw</t>
  </si>
  <si>
    <t>nrshaw2@coopertire.com</t>
  </si>
  <si>
    <t>419-721-3465</t>
  </si>
  <si>
    <t>419-420-6156</t>
  </si>
  <si>
    <t>Ric Nichols</t>
  </si>
  <si>
    <t>rmnichols@coopertire.com</t>
  </si>
  <si>
    <t>419-721-3790</t>
  </si>
  <si>
    <t>Rod Kreinbrink</t>
  </si>
  <si>
    <t>rakreinbrink@coopertire.com</t>
  </si>
  <si>
    <t>(419)Â 348-4331</t>
  </si>
  <si>
    <t>Roger von der Embse</t>
  </si>
  <si>
    <t>rjvonderembse@coopertire.com</t>
  </si>
  <si>
    <t>419-722-6449</t>
  </si>
  <si>
    <t>419-429-6707</t>
  </si>
  <si>
    <t>Ryan Simon</t>
  </si>
  <si>
    <t>rdsimon@coopertire.com</t>
  </si>
  <si>
    <t>419-234-0150</t>
  </si>
  <si>
    <t>419-427-4967</t>
  </si>
  <si>
    <t>Cooper Tire (Texarkana)</t>
  </si>
  <si>
    <t>David Foltz</t>
  </si>
  <si>
    <t>dnfoltz@coopertire.com</t>
  </si>
  <si>
    <t>903-748-8703</t>
  </si>
  <si>
    <t>870-779-4251</t>
  </si>
  <si>
    <t>Dwayne Pettigrew</t>
  </si>
  <si>
    <t>870-779-7393</t>
  </si>
  <si>
    <t>Greg Capps</t>
  </si>
  <si>
    <t>gscapps@coopertire.com</t>
  </si>
  <si>
    <t>903-826-5132</t>
  </si>
  <si>
    <t>870-779-4282</t>
  </si>
  <si>
    <t>Jimmy Smothers</t>
  </si>
  <si>
    <t>jdsmothers@coopertire.com</t>
  </si>
  <si>
    <t>870-779-4288</t>
  </si>
  <si>
    <t>Marty Davis</t>
  </si>
  <si>
    <t>madavis@coopertire.com</t>
  </si>
  <si>
    <t>870-779-4307</t>
  </si>
  <si>
    <t>Tracy Hemby</t>
  </si>
  <si>
    <t>themby@advancedtech.com</t>
  </si>
  <si>
    <t>903-490-7000</t>
  </si>
  <si>
    <t>Cooper Tire (Tupelo)</t>
  </si>
  <si>
    <t>C. Michael Dabbs</t>
  </si>
  <si>
    <t>cmdabbs@coopertire.com</t>
  </si>
  <si>
    <t>662-372-3938</t>
  </si>
  <si>
    <t>662-690-2381</t>
  </si>
  <si>
    <t>Chris Boozer</t>
  </si>
  <si>
    <t>clboozer@coopertire.com</t>
  </si>
  <si>
    <t>662-401-8616</t>
  </si>
  <si>
    <t>662-841-6932</t>
  </si>
  <si>
    <t>Laura Swindle</t>
  </si>
  <si>
    <t>662-841-6931</t>
  </si>
  <si>
    <t>Lee Roy Voyles</t>
  </si>
  <si>
    <t>662-680-3609</t>
  </si>
  <si>
    <t>Core Molding Technologies</t>
  </si>
  <si>
    <t>Chris Schantez</t>
  </si>
  <si>
    <t>cschantzen@coremt.com</t>
  </si>
  <si>
    <t>507-459-2526</t>
  </si>
  <si>
    <t>Cornwel Quality Tools</t>
  </si>
  <si>
    <t>Tom Bowman</t>
  </si>
  <si>
    <t>Tomb@cornwelltools.com</t>
  </si>
  <si>
    <t>419-707-1583</t>
  </si>
  <si>
    <t>Cornwell Quality Tool Company</t>
  </si>
  <si>
    <t>Craig Crowley</t>
  </si>
  <si>
    <t>info@cornwelltools.com</t>
  </si>
  <si>
    <t>330-336-3506</t>
  </si>
  <si>
    <t>tomb@cornwelltools.com</t>
  </si>
  <si>
    <t>Coronado Steel</t>
  </si>
  <si>
    <t>Zack Clark</t>
  </si>
  <si>
    <t>zach@corosteel.com</t>
  </si>
  <si>
    <t>724-255-9915</t>
  </si>
  <si>
    <t>Corporate Electric Company</t>
  </si>
  <si>
    <t>Drew Gansen</t>
  </si>
  <si>
    <t>projectsadmin@cecdriven.com</t>
  </si>
  <si>
    <t>330-472-6864</t>
  </si>
  <si>
    <t>330-331-7517</t>
  </si>
  <si>
    <t>Crafco</t>
  </si>
  <si>
    <t>Joe Maley</t>
  </si>
  <si>
    <t>joe.maley@crafco.com</t>
  </si>
  <si>
    <t>570-490-8060</t>
  </si>
  <si>
    <t>330-270-3034</t>
  </si>
  <si>
    <t>John Ferry</t>
  </si>
  <si>
    <t>john.ferry@crafco.com</t>
  </si>
  <si>
    <t>724-977-4317</t>
  </si>
  <si>
    <t>330-270-3034 ext 18</t>
  </si>
  <si>
    <t>Creative Carbide, Inc.</t>
  </si>
  <si>
    <t>Tom Shoecraft</t>
  </si>
  <si>
    <t>239-567-0041</t>
  </si>
  <si>
    <t>Creo Group</t>
  </si>
  <si>
    <t>Chad Benoit</t>
  </si>
  <si>
    <t>cbenoit@creogroup.com</t>
  </si>
  <si>
    <t>586-404-3374</t>
  </si>
  <si>
    <t>Criterion Machinery Inc</t>
  </si>
  <si>
    <t>Marty Skrovan</t>
  </si>
  <si>
    <t>martyskrovan@criterionmachinery.com</t>
  </si>
  <si>
    <t>216-509-835</t>
  </si>
  <si>
    <t>Crown Composites Tooling</t>
  </si>
  <si>
    <t>Scott Meihls</t>
  </si>
  <si>
    <t>smeihls@crowntooling.net</t>
  </si>
  <si>
    <t>330-425-1311</t>
  </si>
  <si>
    <t>Curbell Plastics</t>
  </si>
  <si>
    <t>Eric Abt</t>
  </si>
  <si>
    <t>eabt@curbellplastics.com</t>
  </si>
  <si>
    <t>330-425-2711 x6623</t>
  </si>
  <si>
    <t>330-425-2711</t>
  </si>
  <si>
    <t>Curtis-Wright</t>
  </si>
  <si>
    <t>Alex Bole</t>
  </si>
  <si>
    <t>abole@curtisswright.com</t>
  </si>
  <si>
    <t>440-570-9031</t>
  </si>
  <si>
    <t>Custom Maintenance LLC</t>
  </si>
  <si>
    <t>Michael Cartinian</t>
  </si>
  <si>
    <t>mcartinian@gmail.com</t>
  </si>
  <si>
    <t>216-410-5837</t>
  </si>
  <si>
    <t>Custom Maintenance, LLC</t>
  </si>
  <si>
    <t>Custom Pultrusions</t>
  </si>
  <si>
    <t>Starbuck Krzywkowski</t>
  </si>
  <si>
    <t>starbuck.krzywkowski@andersencorp.com</t>
  </si>
  <si>
    <t>330-307-2245</t>
  </si>
  <si>
    <t>D&amp;D Winco2</t>
  </si>
  <si>
    <t>Clint Windham</t>
  </si>
  <si>
    <t>clint@winco2.com</t>
  </si>
  <si>
    <t>806-535-0757</t>
  </si>
  <si>
    <t>Diann</t>
  </si>
  <si>
    <t>diann@winco2.com</t>
  </si>
  <si>
    <t>D&amp;L Custom Fabrication Inc.</t>
  </si>
  <si>
    <t>Dan Sas</t>
  </si>
  <si>
    <t>dlcf@neo.rr.com</t>
  </si>
  <si>
    <t>330-317-2576</t>
  </si>
  <si>
    <t>Dacon Industries</t>
  </si>
  <si>
    <t>Brenda Smith</t>
  </si>
  <si>
    <t>Brenda.Smith@daconindustries.com</t>
  </si>
  <si>
    <t>330-298-9491</t>
  </si>
  <si>
    <t>Pete Thomas</t>
  </si>
  <si>
    <t>peter.thomas@daconindustries.com</t>
  </si>
  <si>
    <t>Randy Congo</t>
  </si>
  <si>
    <t>randy.congo@daconindustries.com</t>
  </si>
  <si>
    <t>903-920-4881</t>
  </si>
  <si>
    <t>Thom Merklin</t>
  </si>
  <si>
    <t>Thom.Merklin@daconindustries.com</t>
  </si>
  <si>
    <t>206-778-0661</t>
  </si>
  <si>
    <t>Dacon Industries (Corporate)</t>
  </si>
  <si>
    <t>Lacy Rhode</t>
  </si>
  <si>
    <t>lacy.rhode@daconindustries.com</t>
  </si>
  <si>
    <t>503-978-0801</t>
  </si>
  <si>
    <t>Paula Cayton</t>
  </si>
  <si>
    <t>Paula.Cayton@daconindustries.com</t>
  </si>
  <si>
    <t>Dale Adams Enterprises Inc.</t>
  </si>
  <si>
    <t>Jeremy Adams</t>
  </si>
  <si>
    <t>office@daleadamsenterprises.com</t>
  </si>
  <si>
    <t>330-524-2800</t>
  </si>
  <si>
    <t>Dawson - A Texas Company</t>
  </si>
  <si>
    <t>Asees Binepal</t>
  </si>
  <si>
    <t>asees.binepal@dawsonparts.com</t>
  </si>
  <si>
    <t>214-630-9929 ext. 156</t>
  </si>
  <si>
    <t>Dedicated Transport Services Inc</t>
  </si>
  <si>
    <t>Shell ward</t>
  </si>
  <si>
    <t>shell@espiegroup.com</t>
  </si>
  <si>
    <t>770-429-1111</t>
  </si>
  <si>
    <t>Defontaine S.A.</t>
  </si>
  <si>
    <t>Laurent Jardin</t>
  </si>
  <si>
    <t>laurent-jardin@defontaine.com</t>
  </si>
  <si>
    <t>33 06 75 00 97 57</t>
  </si>
  <si>
    <t>33 02 51 45 96 95</t>
  </si>
  <si>
    <t>Demag Cranes</t>
  </si>
  <si>
    <t>Lance Parravani</t>
  </si>
  <si>
    <t>lance.parravani@demagcranes.com</t>
  </si>
  <si>
    <t>40-349-8236</t>
  </si>
  <si>
    <t>Design Molded Plastics</t>
  </si>
  <si>
    <t>Richard Voigt</t>
  </si>
  <si>
    <t>rvoigt@designmolded.com</t>
  </si>
  <si>
    <t>330-329-5498</t>
  </si>
  <si>
    <t>DHL E-Commerce</t>
  </si>
  <si>
    <t>Darrin Patterson</t>
  </si>
  <si>
    <t>davehoman@berryplastics.com</t>
  </si>
  <si>
    <t>330-995-7363</t>
  </si>
  <si>
    <t>Keldon Warfield</t>
  </si>
  <si>
    <t>keldon.warfield@dhl.com</t>
  </si>
  <si>
    <t>573-703-1281</t>
  </si>
  <si>
    <t>Diamond Rigging</t>
  </si>
  <si>
    <t>Tim Murtaugh</t>
  </si>
  <si>
    <t>tmurtaught@diamongrigging.com</t>
  </si>
  <si>
    <t>Die Cutting Advisors</t>
  </si>
  <si>
    <t>Rob Weidhaas</t>
  </si>
  <si>
    <t>robw@diecuttingadvisors.com</t>
  </si>
  <si>
    <t>570-840-1636</t>
  </si>
  <si>
    <t>DiGiammarino Stone Surface</t>
  </si>
  <si>
    <t>Matt DiGiammarino</t>
  </si>
  <si>
    <t>matt@dssgranite.com</t>
  </si>
  <si>
    <t>330-812-4796</t>
  </si>
  <si>
    <t>Dixie Reproductions Inc.</t>
  </si>
  <si>
    <t>Brad Oskin</t>
  </si>
  <si>
    <t>info@dixiereproductions.com</t>
  </si>
  <si>
    <t>/ 615-382-6311</t>
  </si>
  <si>
    <t>DK Manufacturing</t>
  </si>
  <si>
    <t>Ed H</t>
  </si>
  <si>
    <t>740-621-3893</t>
  </si>
  <si>
    <t>Mike Holbrook</t>
  </si>
  <si>
    <t>mholbrook@dkmanufacturing.com</t>
  </si>
  <si>
    <t>740-808-7200</t>
  </si>
  <si>
    <t>Robbie Latham</t>
  </si>
  <si>
    <t>rlatham@dkmanufacturing.com</t>
  </si>
  <si>
    <t>740-294-3623</t>
  </si>
  <si>
    <t>DM Industrial</t>
  </si>
  <si>
    <t>Matt Mallernee</t>
  </si>
  <si>
    <t>740-942-9830</t>
  </si>
  <si>
    <t>Dover Hydraulics Inc</t>
  </si>
  <si>
    <t>Scott Tritt</t>
  </si>
  <si>
    <t>stritt@doverhydraulics.com</t>
  </si>
  <si>
    <t>DPA Machinery</t>
  </si>
  <si>
    <t>Dan Abraham</t>
  </si>
  <si>
    <t>dpamachinery@gmail.com</t>
  </si>
  <si>
    <t>330-515-6076</t>
  </si>
  <si>
    <t>Drummond Uniform</t>
  </si>
  <si>
    <t>Rick Drummond</t>
  </si>
  <si>
    <t>888-455-7722</t>
  </si>
  <si>
    <t>Durajoint Concrete Accessories</t>
  </si>
  <si>
    <t>Michael Diskin</t>
  </si>
  <si>
    <t>madiskin@durajoint.com</t>
  </si>
  <si>
    <t>216-533-8399</t>
  </si>
  <si>
    <t>Mike Diskin</t>
  </si>
  <si>
    <t>makiskin@durajoint.com</t>
  </si>
  <si>
    <t>330-533-8399</t>
  </si>
  <si>
    <t>Durbin Equipment Sales</t>
  </si>
  <si>
    <t>Doug Durbin</t>
  </si>
  <si>
    <t>614-571-7253</t>
  </si>
  <si>
    <t>DutchCraft Mattress Company</t>
  </si>
  <si>
    <t>Dan Philipp</t>
  </si>
  <si>
    <t>heritagesleepproducts@gmail.com</t>
  </si>
  <si>
    <t>440-342-2002</t>
  </si>
  <si>
    <t>440-437-4425</t>
  </si>
  <si>
    <t>Eli Schmucker</t>
  </si>
  <si>
    <t>eil@twlakes.net</t>
  </si>
  <si>
    <t>931-243-4425</t>
  </si>
  <si>
    <t>Dutton Electric</t>
  </si>
  <si>
    <t>Craig Dutton</t>
  </si>
  <si>
    <t>cdutton@neo.rr.com</t>
  </si>
  <si>
    <t>330-608-1429</t>
  </si>
  <si>
    <t>Earle M. Jorgenson Co    (EMJ Metals)</t>
  </si>
  <si>
    <t>Matt Mindzora</t>
  </si>
  <si>
    <t>mmindzora@emjmetals.com</t>
  </si>
  <si>
    <t>585-321-3320</t>
  </si>
  <si>
    <t>Eaton Corporation</t>
  </si>
  <si>
    <t>Dave Allen</t>
  </si>
  <si>
    <t>440-260-8722</t>
  </si>
  <si>
    <t>Leroy Shepherd</t>
  </si>
  <si>
    <t>leroyshepherd@earton.com</t>
  </si>
  <si>
    <t>Robert Rini</t>
  </si>
  <si>
    <t>robertmrini@eaton.com</t>
  </si>
  <si>
    <t>330-562-3815</t>
  </si>
  <si>
    <t>Scott Coursey</t>
  </si>
  <si>
    <t>drewscoursey@eaton.com</t>
  </si>
  <si>
    <t>Edge Plastics</t>
  </si>
  <si>
    <t>Dean everett</t>
  </si>
  <si>
    <t>Mike Norris</t>
  </si>
  <si>
    <t>mnorris@edgeplastics.com</t>
  </si>
  <si>
    <t>419-522-6696</t>
  </si>
  <si>
    <t>Electra-Cord Inc</t>
  </si>
  <si>
    <t>Mike Mike</t>
  </si>
  <si>
    <t>330-832-8124</t>
  </si>
  <si>
    <t>Elite Stainless Steel</t>
  </si>
  <si>
    <t>Adam Drescher</t>
  </si>
  <si>
    <t>adam@elitestainlesssteel.com</t>
  </si>
  <si>
    <t>586-445-2960</t>
  </si>
  <si>
    <t>Ely Enterprises</t>
  </si>
  <si>
    <t>Bill Bright</t>
  </si>
  <si>
    <t>bill@elyent.com</t>
  </si>
  <si>
    <t>216-533-5208</t>
  </si>
  <si>
    <t>Emerald Machinery Corp.</t>
  </si>
  <si>
    <t>Jerry E Sloan</t>
  </si>
  <si>
    <t>emeraldmachinery@sbcglobal.net</t>
  </si>
  <si>
    <t>330-283-3700</t>
  </si>
  <si>
    <t>Emerson Technologies</t>
  </si>
  <si>
    <t>Ed Emerson</t>
  </si>
  <si>
    <t>ere@emersontechnologies.com</t>
  </si>
  <si>
    <t>330-773-0838</t>
  </si>
  <si>
    <t>Empire Die Castings Co.</t>
  </si>
  <si>
    <t>Bhavesh Dhimmar</t>
  </si>
  <si>
    <t>bhavesh.dhimmar@empiredie.com</t>
  </si>
  <si>
    <t>330-467-9118</t>
  </si>
  <si>
    <t>Bob Boldt</t>
  </si>
  <si>
    <t>Robert.boldt@empirecastingco.com</t>
  </si>
  <si>
    <t>440-668-6616</t>
  </si>
  <si>
    <t>Jim Collins</t>
  </si>
  <si>
    <t>jim_collins@empirediecastingsco.com</t>
  </si>
  <si>
    <t>216-789-7984</t>
  </si>
  <si>
    <t>330-467-0750</t>
  </si>
  <si>
    <t>John Brice</t>
  </si>
  <si>
    <t>john.brice@empirecastingco.com</t>
  </si>
  <si>
    <t>586-610-7541</t>
  </si>
  <si>
    <t>Marcy Artuso</t>
  </si>
  <si>
    <t>marcy.artuso@empirecastingco.com</t>
  </si>
  <si>
    <t>Robert Spiegle</t>
  </si>
  <si>
    <t>Robert.spiegle@empirecastingco.com</t>
  </si>
  <si>
    <t>330-908-3051</t>
  </si>
  <si>
    <t>Tim Tennant</t>
  </si>
  <si>
    <t>tim.tennant@empirecastingsco.com</t>
  </si>
  <si>
    <t>440-668-6576</t>
  </si>
  <si>
    <t>Encore Plastics</t>
  </si>
  <si>
    <t>Trampas Delancey</t>
  </si>
  <si>
    <t>tdelancey@e-encore.com</t>
  </si>
  <si>
    <t>740-995-9851</t>
  </si>
  <si>
    <t>Energy Control</t>
  </si>
  <si>
    <t>Scott West</t>
  </si>
  <si>
    <t>440-596-9675</t>
  </si>
  <si>
    <t>440-746-1205</t>
  </si>
  <si>
    <t>Energy Focus Inc.</t>
  </si>
  <si>
    <t>Jason Deist</t>
  </si>
  <si>
    <t>jdeist@energyfocusinc.com</t>
  </si>
  <si>
    <t>440-715-1300</t>
  </si>
  <si>
    <t>Engineered Plastic Components</t>
  </si>
  <si>
    <t>Kevin Coffman</t>
  </si>
  <si>
    <t>kcoffman@epcmfg.com</t>
  </si>
  <si>
    <t>Enriquez Materials &amp; Quilting</t>
  </si>
  <si>
    <t>Oscar M</t>
  </si>
  <si>
    <t>osarm@enriquezquilting.com</t>
  </si>
  <si>
    <t>323-725-4955</t>
  </si>
  <si>
    <t>Enterprise Plastics</t>
  </si>
  <si>
    <t>Debbie Carpenter</t>
  </si>
  <si>
    <t>ep@enterpriseplastics.com</t>
  </si>
  <si>
    <t>330-346-0496</t>
  </si>
  <si>
    <t>James Clint</t>
  </si>
  <si>
    <t>330-734-7823</t>
  </si>
  <si>
    <t>Essential Sealing Products Inc.</t>
  </si>
  <si>
    <t>Kyle Smith</t>
  </si>
  <si>
    <t>ksmith@espsealing.com</t>
  </si>
  <si>
    <t>216-410-7162</t>
  </si>
  <si>
    <t>216-303-6268</t>
  </si>
  <si>
    <t>Eurecat</t>
  </si>
  <si>
    <t>Richard Flores</t>
  </si>
  <si>
    <t>rflores@eurecat.com</t>
  </si>
  <si>
    <t>281-842-6736</t>
  </si>
  <si>
    <t>Evans Industries 606</t>
  </si>
  <si>
    <t>Brad Evans</t>
  </si>
  <si>
    <t>brad.evans@evansind.net</t>
  </si>
  <si>
    <t>330-453-1122</t>
  </si>
  <si>
    <t>Ever Ready Pin &amp; Manufacturing</t>
  </si>
  <si>
    <t>Tom Warmoth</t>
  </si>
  <si>
    <t>grind@everreadypin.com</t>
  </si>
  <si>
    <t>815-874-4949</t>
  </si>
  <si>
    <t>EX Factory</t>
  </si>
  <si>
    <t>John Meyer</t>
  </si>
  <si>
    <t>john.meyer@exfactory.com</t>
  </si>
  <si>
    <t>800-374-5009 Ext 323</t>
  </si>
  <si>
    <t>Excelsior Marking</t>
  </si>
  <si>
    <t>David Sutter</t>
  </si>
  <si>
    <t>daves@excelsiormarking.com</t>
  </si>
  <si>
    <t>330-697-2235</t>
  </si>
  <si>
    <t>Expressway Logistics</t>
  </si>
  <si>
    <t>Daniel</t>
  </si>
  <si>
    <t>786-567-9148</t>
  </si>
  <si>
    <t>ExSpar Inc.</t>
  </si>
  <si>
    <t>Todd Stump</t>
  </si>
  <si>
    <t>todd@exspar.com</t>
  </si>
  <si>
    <t>Falcon Industries</t>
  </si>
  <si>
    <t>Steve Sogor</t>
  </si>
  <si>
    <t>ssogor@falconindustries.com</t>
  </si>
  <si>
    <t>216-547-7148</t>
  </si>
  <si>
    <t>330-723-0099</t>
  </si>
  <si>
    <t>Falls Stamping &amp; Welding Co</t>
  </si>
  <si>
    <t>Dave Fisher</t>
  </si>
  <si>
    <t>dave.fisher@falls-stamping.com</t>
  </si>
  <si>
    <t>419-566-6815</t>
  </si>
  <si>
    <t>Fastener Technology</t>
  </si>
  <si>
    <t>Gregg Hilderbrand</t>
  </si>
  <si>
    <t>greggh@fastenertechnology.com</t>
  </si>
  <si>
    <t>330-745-8166</t>
  </si>
  <si>
    <t>Federal Equipment Company</t>
  </si>
  <si>
    <t>Julie Meno</t>
  </si>
  <si>
    <t>julie.meno@fedequip.com</t>
  </si>
  <si>
    <t>216-288-1610</t>
  </si>
  <si>
    <t>216-271-3500 x104</t>
  </si>
  <si>
    <t>Ted Davis</t>
  </si>
  <si>
    <t>ted@fedequip.com</t>
  </si>
  <si>
    <t>216-271-3500</t>
  </si>
  <si>
    <t>Fenner Dunlop (Toledo)</t>
  </si>
  <si>
    <t>Bob Hanchin</t>
  </si>
  <si>
    <t>bob.hanchin@fennerdunlop.com</t>
  </si>
  <si>
    <t>Ferriot Inc</t>
  </si>
  <si>
    <t>Bob Brook</t>
  </si>
  <si>
    <t>330-704-1832</t>
  </si>
  <si>
    <t>330-786-3000</t>
  </si>
  <si>
    <t>Brian Lapikas</t>
  </si>
  <si>
    <t>blapikas@ferriot.com</t>
  </si>
  <si>
    <t>Rick Brown</t>
  </si>
  <si>
    <t>rickbrown@ferriot.com</t>
  </si>
  <si>
    <t>330-786-3073</t>
  </si>
  <si>
    <t>First Class Trading LLC</t>
  </si>
  <si>
    <t>Javier Cervantes</t>
  </si>
  <si>
    <t>jav.cervantes@gmail.com</t>
  </si>
  <si>
    <t>312-485-6249</t>
  </si>
  <si>
    <t>Five Intalogistics Corp.</t>
  </si>
  <si>
    <t>Mac Buzanowski</t>
  </si>
  <si>
    <t>mac.buzanowski@fivesgroup.com</t>
  </si>
  <si>
    <t>469-265-4300</t>
  </si>
  <si>
    <t>Flambeau</t>
  </si>
  <si>
    <t>James Holmquist</t>
  </si>
  <si>
    <t>Jenn Sharp</t>
  </si>
  <si>
    <t>jsharp@flambeau.com</t>
  </si>
  <si>
    <t>440-632-3710</t>
  </si>
  <si>
    <t>Matt Mack</t>
  </si>
  <si>
    <t>330-590-3575</t>
  </si>
  <si>
    <t>Flohr Machine Company</t>
  </si>
  <si>
    <t>Kim Spencer</t>
  </si>
  <si>
    <t>kim@flohrmachine.com</t>
  </si>
  <si>
    <t>330-745-3030</t>
  </si>
  <si>
    <t>Flow Polymers LLC</t>
  </si>
  <si>
    <t>John Miller</t>
  </si>
  <si>
    <t>216-249-4900</t>
  </si>
  <si>
    <t>Scott Ruther</t>
  </si>
  <si>
    <t>330-606-6806</t>
  </si>
  <si>
    <t>Terry Predmore</t>
  </si>
  <si>
    <t>tpredmore@flowpolymers.com</t>
  </si>
  <si>
    <t>216-554-6531</t>
  </si>
  <si>
    <t>216-249-4900 x246</t>
  </si>
  <si>
    <t>Foundation Industries, Inc.</t>
  </si>
  <si>
    <t>John Hayduke</t>
  </si>
  <si>
    <t>johnH@foundationind.com</t>
  </si>
  <si>
    <t>330-564-1250</t>
  </si>
  <si>
    <t>Rick Huscroft</t>
  </si>
  <si>
    <t>Tim Shannon</t>
  </si>
  <si>
    <t>tims@foundationind.com</t>
  </si>
  <si>
    <t>330-564-1251</t>
  </si>
  <si>
    <t>Four Seasons Manufacturing</t>
  </si>
  <si>
    <t>Joe Howes</t>
  </si>
  <si>
    <t>jhowes@fourseasonsmfg.com</t>
  </si>
  <si>
    <t>FP Miller Co.</t>
  </si>
  <si>
    <t>Mike Neil</t>
  </si>
  <si>
    <t>mneil@fpmiller.com</t>
  </si>
  <si>
    <t>517-745-1656</t>
  </si>
  <si>
    <t>Freedom Forklift Sales</t>
  </si>
  <si>
    <t>David Dye</t>
  </si>
  <si>
    <t>freedomforkliftsales@gmail.com</t>
  </si>
  <si>
    <t>330-677-5858</t>
  </si>
  <si>
    <t>Freund Baking Company</t>
  </si>
  <si>
    <t>Tony Seneri</t>
  </si>
  <si>
    <t>tony.s@freundbakery.com</t>
  </si>
  <si>
    <t>323-724-3000</t>
  </si>
  <si>
    <t>Fulton  Properties of Ohio, LLC</t>
  </si>
  <si>
    <t>John Medas</t>
  </si>
  <si>
    <t>jmedas@fmiconnect.com</t>
  </si>
  <si>
    <t>440-223-1324</t>
  </si>
  <si>
    <t>Fun-N-Stuff</t>
  </si>
  <si>
    <t>Bob Switalski</t>
  </si>
  <si>
    <t>bob@fun-n-stuff.com</t>
  </si>
  <si>
    <t>330-467-0820</t>
  </si>
  <si>
    <t>G S Steel Company</t>
  </si>
  <si>
    <t>Joe Carter</t>
  </si>
  <si>
    <t>joecarter@gssteel.com</t>
  </si>
  <si>
    <t>330-920-1900 x170</t>
  </si>
  <si>
    <t>Rick Stover</t>
  </si>
  <si>
    <t>330-920-1900 x240</t>
  </si>
  <si>
    <t>G3 Mixing Technologies</t>
  </si>
  <si>
    <t>Brian Howard</t>
  </si>
  <si>
    <t>Brian.howard@G3machinery.com</t>
  </si>
  <si>
    <t>330-284-1990</t>
  </si>
  <si>
    <t>Constantino Simonetti</t>
  </si>
  <si>
    <t>constantino.simonetti@g3machinery.com</t>
  </si>
  <si>
    <t>'+39-0861-815113</t>
  </si>
  <si>
    <t>Paolo Moscatelli</t>
  </si>
  <si>
    <t>paolo.moscatelli@g3machinery.com</t>
  </si>
  <si>
    <t>Gahanna-Jefferson City Schools</t>
  </si>
  <si>
    <t>Dwayne Hawk</t>
  </si>
  <si>
    <t>hawkd@gjps.org</t>
  </si>
  <si>
    <t>614-478-5567</t>
  </si>
  <si>
    <t>GCS Industrial Services, LTD.</t>
  </si>
  <si>
    <t>Gary Spiker</t>
  </si>
  <si>
    <t>gary.gcsind@yahoo.com</t>
  </si>
  <si>
    <t>330-714-1623</t>
  </si>
  <si>
    <t>Ray Rinkin</t>
  </si>
  <si>
    <t>330-704-1792</t>
  </si>
  <si>
    <t>Gear Products</t>
  </si>
  <si>
    <t>David Takacs</t>
  </si>
  <si>
    <t>davetakacs@hotmail.com</t>
  </si>
  <si>
    <t>440-951-9084</t>
  </si>
  <si>
    <t>GED Integrated Solutions</t>
  </si>
  <si>
    <t>Kevin Felix</t>
  </si>
  <si>
    <t>kfelix@gedusa.com</t>
  </si>
  <si>
    <t>330-289-6186</t>
  </si>
  <si>
    <t>330-487-5037</t>
  </si>
  <si>
    <t>General Aluminum</t>
  </si>
  <si>
    <t>Craig Schlauch</t>
  </si>
  <si>
    <t>cschlauch@generalaluminum.com</t>
  </si>
  <si>
    <t>440-241-9766</t>
  </si>
  <si>
    <t>330-297-1225</t>
  </si>
  <si>
    <t>Jay Penlington</t>
  </si>
  <si>
    <t>440-858-7835</t>
  </si>
  <si>
    <t>Mike Bambarger</t>
  </si>
  <si>
    <t>mbambarger@generalaluminum.com</t>
  </si>
  <si>
    <t>440-593-8141</t>
  </si>
  <si>
    <t>Ray Ball</t>
  </si>
  <si>
    <t>Rick White</t>
  </si>
  <si>
    <t>330-397-7296</t>
  </si>
  <si>
    <t>Terry Gressley</t>
  </si>
  <si>
    <t>tgressley@angstrom.usa.com</t>
  </si>
  <si>
    <t>260-454-1048</t>
  </si>
  <si>
    <t>Tony Drawl</t>
  </si>
  <si>
    <t>330-219-6623</t>
  </si>
  <si>
    <t>tdrawl@angstrom-usa.com</t>
  </si>
  <si>
    <t>330-978-6514</t>
  </si>
  <si>
    <t>General Die Casters</t>
  </si>
  <si>
    <t>Brian Lennon</t>
  </si>
  <si>
    <t>blennon@generaldie.com</t>
  </si>
  <si>
    <t>330-221-0038</t>
  </si>
  <si>
    <t>Leo Gruber</t>
  </si>
  <si>
    <t>lgruber@generaldie.com</t>
  </si>
  <si>
    <t>330-697-5962</t>
  </si>
  <si>
    <t>Matt Burch</t>
  </si>
  <si>
    <t>mburch@generaldie.com</t>
  </si>
  <si>
    <t>330-657-2300-ext-222</t>
  </si>
  <si>
    <t>Tricia Grosskopf</t>
  </si>
  <si>
    <t>tgrosskopf@generaldie.com</t>
  </si>
  <si>
    <t>330-657-2300</t>
  </si>
  <si>
    <t>Genesis Plastics Technologies</t>
  </si>
  <si>
    <t>John Hermann</t>
  </si>
  <si>
    <t>jermann@genesisplastic.com</t>
  </si>
  <si>
    <t>440-542-0722</t>
  </si>
  <si>
    <t>Gens Edifice</t>
  </si>
  <si>
    <t>Joseph Johnson</t>
  </si>
  <si>
    <t>joseph.j@gensedifice.com</t>
  </si>
  <si>
    <t>724-495-9713</t>
  </si>
  <si>
    <t>Geo-Tech Polymers</t>
  </si>
  <si>
    <t>Aimee McDonald</t>
  </si>
  <si>
    <t>amcdonald@geo-tech.com</t>
  </si>
  <si>
    <t>309-258-5690</t>
  </si>
  <si>
    <t>614-797-2300 x26200</t>
  </si>
  <si>
    <t>Josh Voorhes</t>
  </si>
  <si>
    <t>jvoorhes@geo-tech.com</t>
  </si>
  <si>
    <t>740-708-1547</t>
  </si>
  <si>
    <t>Sanjay Dutta</t>
  </si>
  <si>
    <t>sdutta@geo-tech.com</t>
  </si>
  <si>
    <t>616-881-1800</t>
  </si>
  <si>
    <t>Georgia-Pacific</t>
  </si>
  <si>
    <t>Charlie Brown</t>
  </si>
  <si>
    <t>cjbrown@gapac.com</t>
  </si>
  <si>
    <t>330-734-1031</t>
  </si>
  <si>
    <t>Mark Coleman</t>
  </si>
  <si>
    <t>mark.coleman@gapac.com</t>
  </si>
  <si>
    <t>330-212-0320</t>
  </si>
  <si>
    <t>330-734-1030</t>
  </si>
  <si>
    <t>Gerber Wood Products</t>
  </si>
  <si>
    <t>Derek Thompson</t>
  </si>
  <si>
    <t>dthompson@Gerberwood.com</t>
  </si>
  <si>
    <t>330-857-9007</t>
  </si>
  <si>
    <t>Glazing Systems Inc</t>
  </si>
  <si>
    <t>David Ede</t>
  </si>
  <si>
    <t>dede@glazingsystems.com</t>
  </si>
  <si>
    <t>330-606-6520</t>
  </si>
  <si>
    <t>Sarah Chupa</t>
  </si>
  <si>
    <t>offmgr@glazingsystems.com</t>
  </si>
  <si>
    <t>330-673-7000</t>
  </si>
  <si>
    <t>Golden Ratio Management Corporation</t>
  </si>
  <si>
    <t>Varun Toshniwal</t>
  </si>
  <si>
    <t>varun.toshniwal@grtms.com</t>
  </si>
  <si>
    <t>Grand Haven Grinding</t>
  </si>
  <si>
    <t>Jason Munch</t>
  </si>
  <si>
    <t>ghgrinding@yahoo.com</t>
  </si>
  <si>
    <t>616-844-1730</t>
  </si>
  <si>
    <t>Grand Marshall Machinery</t>
  </si>
  <si>
    <t>Matt Schulman</t>
  </si>
  <si>
    <t>Gravure, Inc</t>
  </si>
  <si>
    <t>JD Cunningham</t>
  </si>
  <si>
    <t>jcunningham@gravureinc.com</t>
  </si>
  <si>
    <t>864-439-7531</t>
  </si>
  <si>
    <t>Green Country Compressor Service</t>
  </si>
  <si>
    <t>Ashley Tiguet</t>
  </si>
  <si>
    <t>ashleygccs@hotmail.com</t>
  </si>
  <si>
    <t>918-906-6343</t>
  </si>
  <si>
    <t>Green Liner</t>
  </si>
  <si>
    <t>Sean Gallagher</t>
  </si>
  <si>
    <t>sgallagher@vaigroup.com</t>
  </si>
  <si>
    <t>716-289-7668</t>
  </si>
  <si>
    <t>GS Steel</t>
  </si>
  <si>
    <t>Haas Factory Outlet</t>
  </si>
  <si>
    <t>Chris Tsiros</t>
  </si>
  <si>
    <t>ctsiros@hfomidwest.com</t>
  </si>
  <si>
    <t>440-503-9498</t>
  </si>
  <si>
    <t>Harbor Castings</t>
  </si>
  <si>
    <t>Brian Bonea</t>
  </si>
  <si>
    <t>330-499-7178</t>
  </si>
  <si>
    <t>Chuck Lane</t>
  </si>
  <si>
    <t>330-606-7727</t>
  </si>
  <si>
    <t>Tom Armour</t>
  </si>
  <si>
    <t>330-+499-7178</t>
  </si>
  <si>
    <t>Hariton Machinery</t>
  </si>
  <si>
    <t>Alan Hariton</t>
  </si>
  <si>
    <t>alanh@haritonmachinery.com</t>
  </si>
  <si>
    <t>203-722-0317</t>
  </si>
  <si>
    <t>HB Chemical</t>
  </si>
  <si>
    <t>Michael Magno</t>
  </si>
  <si>
    <t>Michaelmagno414@gmail.com</t>
  </si>
  <si>
    <t>Troy Aiken</t>
  </si>
  <si>
    <t>Troy.Aiken@HBchemical.com</t>
  </si>
  <si>
    <t>330-351-2695</t>
  </si>
  <si>
    <t>Heat Max Heaters</t>
  </si>
  <si>
    <t>Shane Martin</t>
  </si>
  <si>
    <t>smartin@heatmaxheaters.com</t>
  </si>
  <si>
    <t>Hendrickson</t>
  </si>
  <si>
    <t>Nick Frank</t>
  </si>
  <si>
    <t>nfrank@hendrickson-intl.com</t>
  </si>
  <si>
    <t>Pirolozzi, Troy</t>
  </si>
  <si>
    <t>tpirolozzi@hendrickson-intl.com</t>
  </si>
  <si>
    <t>330-489-0648</t>
  </si>
  <si>
    <t>Scott Knepper</t>
  </si>
  <si>
    <t>330-489-0638</t>
  </si>
  <si>
    <t>Hi-Tech Machinery</t>
  </si>
  <si>
    <t>Singh Gurpreet</t>
  </si>
  <si>
    <t>gurpreetsingh502@gmail.com</t>
  </si>
  <si>
    <t>913-306-1377</t>
  </si>
  <si>
    <t>Hilton Columbus at Easton</t>
  </si>
  <si>
    <t>Ivan Rael</t>
  </si>
  <si>
    <t>ivan.rael@hilton.com</t>
  </si>
  <si>
    <t>Hostar International Inc.</t>
  </si>
  <si>
    <t>Todd Bush</t>
  </si>
  <si>
    <t>tbush@hostar.com</t>
  </si>
  <si>
    <t>440-739-0502</t>
  </si>
  <si>
    <t>Huddleston Machinery Moving</t>
  </si>
  <si>
    <t>Dave Huddleston</t>
  </si>
  <si>
    <t>huddlestonkc@hmmkc.com</t>
  </si>
  <si>
    <t>816-214-7345</t>
  </si>
  <si>
    <t>Hydromat-RE</t>
  </si>
  <si>
    <t>Bradley Meyers</t>
  </si>
  <si>
    <t>bmeyers@hydromat-re.com</t>
  </si>
  <si>
    <t>330-696-9316</t>
  </si>
  <si>
    <t>Hygenic Corp Performance Health</t>
  </si>
  <si>
    <t>ken pavlak</t>
  </si>
  <si>
    <t>330-690-3102</t>
  </si>
  <si>
    <t>Imhoff Construction Inc.</t>
  </si>
  <si>
    <t>Scott Imhoff</t>
  </si>
  <si>
    <t>330-683-4498</t>
  </si>
  <si>
    <t>Imperial Electric</t>
  </si>
  <si>
    <t>Jim Heiss</t>
  </si>
  <si>
    <t>330-734-3600</t>
  </si>
  <si>
    <t>Joe Kalal</t>
  </si>
  <si>
    <t>IMS</t>
  </si>
  <si>
    <t>John Logan</t>
  </si>
  <si>
    <t>john@loboequipment.com</t>
  </si>
  <si>
    <t>806-893-3692</t>
  </si>
  <si>
    <t>Incredible Plastics</t>
  </si>
  <si>
    <t>Ted Bloom</t>
  </si>
  <si>
    <t>330-898-3878</t>
  </si>
  <si>
    <t>Inman Shipping</t>
  </si>
  <si>
    <t>Alan Laumer</t>
  </si>
  <si>
    <t>Alan.laumer@shipinman.com</t>
  </si>
  <si>
    <t>440-283-9999</t>
  </si>
  <si>
    <t>Innovative Fabrications</t>
  </si>
  <si>
    <t>Jonathan Laughlin</t>
  </si>
  <si>
    <t>jlaughin@innovative-fab.com</t>
  </si>
  <si>
    <t>330-794-5920</t>
  </si>
  <si>
    <t>Lemuel Joyner</t>
  </si>
  <si>
    <t>ljoyner@innovative-fab.com</t>
  </si>
  <si>
    <t>330-430-3197</t>
  </si>
  <si>
    <t>Integrity Integrators, LLC</t>
  </si>
  <si>
    <t>Chuck Garrett</t>
  </si>
  <si>
    <t>chuck@sjintegrity.com</t>
  </si>
  <si>
    <t>Scott Jackson</t>
  </si>
  <si>
    <t>scott@sjintegrity.com</t>
  </si>
  <si>
    <t>International Enterprises</t>
  </si>
  <si>
    <t>Jason Snyder</t>
  </si>
  <si>
    <t>330-284-1909</t>
  </si>
  <si>
    <t>Vince Farina</t>
  </si>
  <si>
    <t>vfarina@internationalent.com</t>
  </si>
  <si>
    <t>International Metal Trading</t>
  </si>
  <si>
    <t>Paul Terrault</t>
  </si>
  <si>
    <t>pterrault@aol.com</t>
  </si>
  <si>
    <t>847-922-3394</t>
  </si>
  <si>
    <t>J&amp;J Precision Machine</t>
  </si>
  <si>
    <t>Hans Unknown</t>
  </si>
  <si>
    <t>sales@jjpremachine.com</t>
  </si>
  <si>
    <t>330-923-5783</t>
  </si>
  <si>
    <t>Paul Blewitt</t>
  </si>
  <si>
    <t>Rob Burkey</t>
  </si>
  <si>
    <t>330-717-4759</t>
  </si>
  <si>
    <t>J. Feldkamp Design Build</t>
  </si>
  <si>
    <t>Jon Feldkamp</t>
  </si>
  <si>
    <t>jon.jfdb@gmial.com</t>
  </si>
  <si>
    <t>513-535-7581</t>
  </si>
  <si>
    <t>J.C. Whitlam Manufacturing</t>
  </si>
  <si>
    <t>Mike Buck</t>
  </si>
  <si>
    <t>mbuck@jcwhitlam.com</t>
  </si>
  <si>
    <t>330-304-3994</t>
  </si>
  <si>
    <t>Jax Mold and Machine</t>
  </si>
  <si>
    <t>Ezekiel Thornton</t>
  </si>
  <si>
    <t>ezekiel@jax.tiremolds.com</t>
  </si>
  <si>
    <t>740-707-3972</t>
  </si>
  <si>
    <t>Tom Thorton</t>
  </si>
  <si>
    <t>colleen@caliber.tiremolds.com</t>
  </si>
  <si>
    <t>330-633-8171</t>
  </si>
  <si>
    <t>Jay-Em Aerospace</t>
  </si>
  <si>
    <t>Brian Hodor</t>
  </si>
  <si>
    <t>bhodor@jay-em.com</t>
  </si>
  <si>
    <t>330-923-0333</t>
  </si>
  <si>
    <t>Jack Morrison</t>
  </si>
  <si>
    <t>Jet Rubber Company</t>
  </si>
  <si>
    <t>Ana Torres</t>
  </si>
  <si>
    <t>713-673-5202</t>
  </si>
  <si>
    <t>JRC Technologies, LLC.</t>
  </si>
  <si>
    <t>Ian Moy</t>
  </si>
  <si>
    <t>imov@irctec.com</t>
  </si>
  <si>
    <t>330-+414-3110</t>
  </si>
  <si>
    <t>440-632-3116</t>
  </si>
  <si>
    <t>JT Automation</t>
  </si>
  <si>
    <t>Glenn Levesque</t>
  </si>
  <si>
    <t>glevesque@JTautomation.com</t>
  </si>
  <si>
    <t>860-784-1967 Ext. 429</t>
  </si>
  <si>
    <t>JWF Industries</t>
  </si>
  <si>
    <t>Jim Ford</t>
  </si>
  <si>
    <t>jwfinds@comcast.com</t>
  </si>
  <si>
    <t>609-685-6084</t>
  </si>
  <si>
    <t>Karam Trader Inc.</t>
  </si>
  <si>
    <t>Ahmad Salmon</t>
  </si>
  <si>
    <t>karamtrader@yahoo.com</t>
  </si>
  <si>
    <t>630-687-5880</t>
  </si>
  <si>
    <t>KB BioEnergy, Inc</t>
  </si>
  <si>
    <t>Eric Fox</t>
  </si>
  <si>
    <t>ericf@kbbioenergy.com</t>
  </si>
  <si>
    <t>330-864-2621</t>
  </si>
  <si>
    <t>Margo Luey</t>
  </si>
  <si>
    <t>margol@kbbioenergy.com</t>
  </si>
  <si>
    <t>330-608-4715</t>
  </si>
  <si>
    <t>Scott Wightman</t>
  </si>
  <si>
    <t>330-608-9399</t>
  </si>
  <si>
    <t>Ted November</t>
  </si>
  <si>
    <t>tedn@kbbioenergy.com</t>
  </si>
  <si>
    <t>330-685-1812</t>
  </si>
  <si>
    <t>Keen Pump Co.</t>
  </si>
  <si>
    <t>Ben Keener</t>
  </si>
  <si>
    <t>ben@keenpump.com</t>
  </si>
  <si>
    <t>Keene Building Products</t>
  </si>
  <si>
    <t>Brian Nawrocki</t>
  </si>
  <si>
    <t>bn@keenebuilding.com</t>
  </si>
  <si>
    <t>440-679-0977</t>
  </si>
  <si>
    <t>Jason Benzing</t>
  </si>
  <si>
    <t>jb@keenebuilding.com</t>
  </si>
  <si>
    <t>573-514-5721</t>
  </si>
  <si>
    <t>Kevin Brininger</t>
  </si>
  <si>
    <t>Kdb@dependable.us</t>
  </si>
  <si>
    <t>877-514-5336</t>
  </si>
  <si>
    <t>Kennametal</t>
  </si>
  <si>
    <t>Chuck Mcquaid</t>
  </si>
  <si>
    <t>chuck.mcquaid@kennametal.com</t>
  </si>
  <si>
    <t>330-274-1054</t>
  </si>
  <si>
    <t>Jeff Cox</t>
  </si>
  <si>
    <t>jeff.cox.@kennametal.com</t>
  </si>
  <si>
    <t>336-683-5314</t>
  </si>
  <si>
    <t>Mark Ray</t>
  </si>
  <si>
    <t>724-539-6592</t>
  </si>
  <si>
    <t>Robert Bridge</t>
  </si>
  <si>
    <t>robert.bridge@kennametal.com</t>
  </si>
  <si>
    <t>724-889-5905</t>
  </si>
  <si>
    <t>Ryan Pack</t>
  </si>
  <si>
    <t>Ryan.Pack@Kennametal.com</t>
  </si>
  <si>
    <t>Tim Young</t>
  </si>
  <si>
    <t>814-494-2446</t>
  </si>
  <si>
    <t>Kent Adhesive Products</t>
  </si>
  <si>
    <t>Bill Roblin</t>
  </si>
  <si>
    <t>broblin@kapco.com</t>
  </si>
  <si>
    <t>330-678-1626</t>
  </si>
  <si>
    <t>Kent Automation</t>
  </si>
  <si>
    <t>Greg Pekar</t>
  </si>
  <si>
    <t>gpekar@mnmind.com</t>
  </si>
  <si>
    <t>330-203-8639</t>
  </si>
  <si>
    <t>Pat Riley</t>
  </si>
  <si>
    <t>patriley@mnmind.com</t>
  </si>
  <si>
    <t>330-678-6343 x102</t>
  </si>
  <si>
    <t>330-678-6343</t>
  </si>
  <si>
    <t>Kent Corporation</t>
  </si>
  <si>
    <t>John Stark</t>
  </si>
  <si>
    <t>johns@kenttesgo.com</t>
  </si>
  <si>
    <t>440-582-3400</t>
  </si>
  <si>
    <t>Kiraly Tool &amp; Die Inc</t>
  </si>
  <si>
    <t>Steve Kiraly</t>
  </si>
  <si>
    <t>eng@kiralytool.com</t>
  </si>
  <si>
    <t>330-744-5773</t>
  </si>
  <si>
    <t>Kyocera Hardcoating Technologies</t>
  </si>
  <si>
    <t>Gregory Minnich</t>
  </si>
  <si>
    <t>minnichg@kyocera-hardcoating.com</t>
  </si>
  <si>
    <t>330-686-2136</t>
  </si>
  <si>
    <t>Joe Clark</t>
  </si>
  <si>
    <t>clarkj@kyocera-hardcoating.com</t>
  </si>
  <si>
    <t>Sam Magner</t>
  </si>
  <si>
    <t>magners@kyocera-hardcoating.com</t>
  </si>
  <si>
    <t>Tim Mannion</t>
  </si>
  <si>
    <t>mannion@kocera-hardcoating.com</t>
  </si>
  <si>
    <t>Kyoto Cooling</t>
  </si>
  <si>
    <t>Jason Robertson</t>
  </si>
  <si>
    <t>j.robertson@kyotocooling.com</t>
  </si>
  <si>
    <t>330-802-5608</t>
  </si>
  <si>
    <t>Landmark Plastics</t>
  </si>
  <si>
    <t>Bill Suplit</t>
  </si>
  <si>
    <t>bill@landmarkplastic.com</t>
  </si>
  <si>
    <t>330-289-4784</t>
  </si>
  <si>
    <t>330-785-2200</t>
  </si>
  <si>
    <t>Layco Electric</t>
  </si>
  <si>
    <t>Greg Budnik</t>
  </si>
  <si>
    <t>greg.budnik@lei-corp.com</t>
  </si>
  <si>
    <t>918-796-8016</t>
  </si>
  <si>
    <t>Lefko Plastic Products Inc</t>
  </si>
  <si>
    <t>Julie Truax</t>
  </si>
  <si>
    <t>julie.truax@lefkoplastics.com</t>
  </si>
  <si>
    <t>819-843-9237</t>
  </si>
  <si>
    <t>Lehi Valley Midwest</t>
  </si>
  <si>
    <t>Ben Demos</t>
  </si>
  <si>
    <t>ben.demos@lehivalley.com</t>
  </si>
  <si>
    <t>440-723-5421</t>
  </si>
  <si>
    <t>Little Tikes</t>
  </si>
  <si>
    <t>Chris Hanesen</t>
  </si>
  <si>
    <t>chansen@mgae.com</t>
  </si>
  <si>
    <t>330-650-3176</t>
  </si>
  <si>
    <t>Christopher Stires</t>
  </si>
  <si>
    <t>CStires@mgae.com</t>
  </si>
  <si>
    <t>330-650-3149</t>
  </si>
  <si>
    <t>Chuck h</t>
  </si>
  <si>
    <t>614-571-7924</t>
  </si>
  <si>
    <t>Daniel Clark</t>
  </si>
  <si>
    <t>dclark@mgae.com</t>
  </si>
  <si>
    <t>330-650-3216</t>
  </si>
  <si>
    <t>Joe LoCascio</t>
  </si>
  <si>
    <t>joe.locascio@mgae.com</t>
  </si>
  <si>
    <t>Kristyne Lowe</t>
  </si>
  <si>
    <t>Klowe@mgae.com</t>
  </si>
  <si>
    <t>330-650-3044</t>
  </si>
  <si>
    <t>pete schneider</t>
  </si>
  <si>
    <t>pschneider@mgae.com</t>
  </si>
  <si>
    <t>330-650-3108</t>
  </si>
  <si>
    <t>Steve Mackanos</t>
  </si>
  <si>
    <t>smackanos@mgae.com</t>
  </si>
  <si>
    <t>330-650-3000</t>
  </si>
  <si>
    <t>Tim Madgar</t>
  </si>
  <si>
    <t>Madgar@mgae.com</t>
  </si>
  <si>
    <t>330-650-3157</t>
  </si>
  <si>
    <t>William Holcomb</t>
  </si>
  <si>
    <t>wholcomb@mgae.com</t>
  </si>
  <si>
    <t>Locus Holdings</t>
  </si>
  <si>
    <t>Greg Flick</t>
  </si>
  <si>
    <t>gflick@locus.com</t>
  </si>
  <si>
    <t>510-366-3426</t>
  </si>
  <si>
    <t>Louis Perry Group</t>
  </si>
  <si>
    <t>Chris Seay</t>
  </si>
  <si>
    <t>cseay@perrygroupltd.com</t>
  </si>
  <si>
    <t>330-858-2833</t>
  </si>
  <si>
    <t>330-334-1585</t>
  </si>
  <si>
    <t>Ed Hill</t>
  </si>
  <si>
    <t>hehill@louisperry.com</t>
  </si>
  <si>
    <t>330-419-6056</t>
  </si>
  <si>
    <t>Gene Summers</t>
  </si>
  <si>
    <t>gsummers@perrygroupltd.com</t>
  </si>
  <si>
    <t>330-858-2784</t>
  </si>
  <si>
    <t>James Calderone</t>
  </si>
  <si>
    <t>jcalderone@louisperry.com</t>
  </si>
  <si>
    <t>330-903-0479</t>
  </si>
  <si>
    <t>John Oleksik</t>
  </si>
  <si>
    <t>joleksik@louisperry.com</t>
  </si>
  <si>
    <t>330-958-4635</t>
  </si>
  <si>
    <t>Joseph Gidcumb</t>
  </si>
  <si>
    <t>jgidcumb@louisperry.com</t>
  </si>
  <si>
    <t>330-806-9435</t>
  </si>
  <si>
    <t>Kenneth Rowan</t>
  </si>
  <si>
    <t>krowan@louisperry.com</t>
  </si>
  <si>
    <t>Kevin Montesano</t>
  </si>
  <si>
    <t>kmontesano@louisperry.com</t>
  </si>
  <si>
    <t>330-329-1340</t>
  </si>
  <si>
    <t>Lowell Fields</t>
  </si>
  <si>
    <t>lfields@perrygroupltd.com</t>
  </si>
  <si>
    <t>330-510-0231</t>
  </si>
  <si>
    <t>Melanie Schmeida</t>
  </si>
  <si>
    <t>mschmeida@louisperry.com</t>
  </si>
  <si>
    <t>330-760-0645</t>
  </si>
  <si>
    <t>Nicholas Phelps</t>
  </si>
  <si>
    <t>nphelps@perrygroupltd.com</t>
  </si>
  <si>
    <t>330-958-2686</t>
  </si>
  <si>
    <t>Shawn Bogner</t>
  </si>
  <si>
    <t>sbogner@louisperry.com</t>
  </si>
  <si>
    <t>330-618-1436</t>
  </si>
  <si>
    <t>Ted Wunderlich</t>
  </si>
  <si>
    <t>330-620-1312</t>
  </si>
  <si>
    <t>William Kovachick</t>
  </si>
  <si>
    <t>wkovachick@louisperry.com</t>
  </si>
  <si>
    <t>330-523-0425</t>
  </si>
  <si>
    <t>M &amp; M Equipment Corp.</t>
  </si>
  <si>
    <t>Mark Newman</t>
  </si>
  <si>
    <t>sales@mmequip.com</t>
  </si>
  <si>
    <t>847-673-0300</t>
  </si>
  <si>
    <t>Mac LTT</t>
  </si>
  <si>
    <t>Ronda Ries</t>
  </si>
  <si>
    <t>rries@macltt.com</t>
  </si>
  <si>
    <t>330-474-3795</t>
  </si>
  <si>
    <t>MachineEX Technologies</t>
  </si>
  <si>
    <t>Dan Hoffman</t>
  </si>
  <si>
    <t>dhoffman@machinexrs.com</t>
  </si>
  <si>
    <t>604-968-1477</t>
  </si>
  <si>
    <t>Machinery Values of NJ Inc.</t>
  </si>
  <si>
    <t>Andrew Valitt</t>
  </si>
  <si>
    <t>grinders@machineryvales.com</t>
  </si>
  <si>
    <t>973-722-4009</t>
  </si>
  <si>
    <t>Mahoning Career &amp; Tech Center</t>
  </si>
  <si>
    <t>Michael Lutz</t>
  </si>
  <si>
    <t>michael.lutz@mahoningctc.com</t>
  </si>
  <si>
    <t>330-708-0226</t>
  </si>
  <si>
    <t>Mantua Manufacturing Company</t>
  </si>
  <si>
    <t>Chris Voyzey</t>
  </si>
  <si>
    <t>chris.voyzey@mantuabeds.com</t>
  </si>
  <si>
    <t>440-476-4436</t>
  </si>
  <si>
    <t>Martin Wheel</t>
  </si>
  <si>
    <t>andrew hale</t>
  </si>
  <si>
    <t>ahale@martinwheelco.com</t>
  </si>
  <si>
    <t>Ben Sipe</t>
  </si>
  <si>
    <t>330-714-5440</t>
  </si>
  <si>
    <t>McNeil Industries</t>
  </si>
  <si>
    <t>Richard Ludrosky</t>
  </si>
  <si>
    <t>rpl@mcneilindustries.com</t>
  </si>
  <si>
    <t>440-721-0400</t>
  </si>
  <si>
    <t>Mechanical Systems</t>
  </si>
  <si>
    <t>Greg Johnson</t>
  </si>
  <si>
    <t>gjohnson@msi-group.com</t>
  </si>
  <si>
    <t>316-806-7311</t>
  </si>
  <si>
    <t>Meggitt Aircraft Braking Systems</t>
  </si>
  <si>
    <t>Jim Davies</t>
  </si>
  <si>
    <t>jim.davies@meggitt.com</t>
  </si>
  <si>
    <t>330-631-7103</t>
  </si>
  <si>
    <t>330-796-1743</t>
  </si>
  <si>
    <t>John Carver</t>
  </si>
  <si>
    <t>330-591-5814</t>
  </si>
  <si>
    <t>330-796-3622</t>
  </si>
  <si>
    <t>Jonathan Carver</t>
  </si>
  <si>
    <t>jonathancarver@mettitt.com</t>
  </si>
  <si>
    <t>Mike Roach</t>
  </si>
  <si>
    <t>330-796-3584</t>
  </si>
  <si>
    <t>Mesnac Americas Co</t>
  </si>
  <si>
    <t>Jay Zhang</t>
  </si>
  <si>
    <t>JZhang@mesnac.us</t>
  </si>
  <si>
    <t>330-571-2121</t>
  </si>
  <si>
    <t>Xianghai Meng</t>
  </si>
  <si>
    <t>mengxh@mesnac.com</t>
  </si>
  <si>
    <t>86 18678951866</t>
  </si>
  <si>
    <t>Metal Sales</t>
  </si>
  <si>
    <t>Kevin Sample</t>
  </si>
  <si>
    <t>ksample@metalsales.us.com</t>
  </si>
  <si>
    <t>812-924-8663</t>
  </si>
  <si>
    <t>Leroy Tanning</t>
  </si>
  <si>
    <t>330-509-4092</t>
  </si>
  <si>
    <t>Metal Supermarket</t>
  </si>
  <si>
    <t>Ashley Podnar</t>
  </si>
  <si>
    <t>ashleypodnar@metalsupermarkets.com</t>
  </si>
  <si>
    <t>330-708-0526</t>
  </si>
  <si>
    <t>Micro Lapping Barile Precision Grinding</t>
  </si>
  <si>
    <t>Jeff Lenhart</t>
  </si>
  <si>
    <t>jeff@microlapping.com</t>
  </si>
  <si>
    <t>Mid American</t>
  </si>
  <si>
    <t>Ray Blake</t>
  </si>
  <si>
    <t>ray.blake@iss-na.com</t>
  </si>
  <si>
    <t>330-620-5369</t>
  </si>
  <si>
    <t>Mid American Stainless Steel</t>
  </si>
  <si>
    <t>Jerry Stray</t>
  </si>
  <si>
    <t>jstray@mastainless.com</t>
  </si>
  <si>
    <t>216-692-3800</t>
  </si>
  <si>
    <t>Midstate Plastics Corp.</t>
  </si>
  <si>
    <t>Alan Rajdl</t>
  </si>
  <si>
    <t>arajdl@midstateplasticscor.com</t>
  </si>
  <si>
    <t>218-566-2663</t>
  </si>
  <si>
    <t>Midwest Installation Group</t>
  </si>
  <si>
    <t>Cassie Brown</t>
  </si>
  <si>
    <t>cbrown@midwestinstallation.com</t>
  </si>
  <si>
    <t>330-217-4762</t>
  </si>
  <si>
    <t>Milestone</t>
  </si>
  <si>
    <t>Charles Hood</t>
  </si>
  <si>
    <t>330-990-5919</t>
  </si>
  <si>
    <t>Mitchell Rubber Company</t>
  </si>
  <si>
    <t>Stephen Lautenschlager</t>
  </si>
  <si>
    <t>sjl@mitchellrubber.com</t>
  </si>
  <si>
    <t>626-961-0311</t>
  </si>
  <si>
    <t>Mithril Thrax</t>
  </si>
  <si>
    <t>Paulo claro</t>
  </si>
  <si>
    <t>pclaro@mithrilthrax.com</t>
  </si>
  <si>
    <t>419-484-1172</t>
  </si>
  <si>
    <t>Modern Designs Inc.</t>
  </si>
  <si>
    <t>Mark Boyd</t>
  </si>
  <si>
    <t>markb@moderndesignsinc.com</t>
  </si>
  <si>
    <t>330-571-0841</t>
  </si>
  <si>
    <t>330-644-1771 Ext 1</t>
  </si>
  <si>
    <t>Mohawk Machinery</t>
  </si>
  <si>
    <t>Steve Malloy</t>
  </si>
  <si>
    <t>steve@mohawkmachinery.com</t>
  </si>
  <si>
    <t>513-771-1952</t>
  </si>
  <si>
    <t>Molding Dynamics Inc.</t>
  </si>
  <si>
    <t>Chuck Connors</t>
  </si>
  <si>
    <t>chuckc@moldingdynamics.net</t>
  </si>
  <si>
    <t>440-786-8100</t>
  </si>
  <si>
    <t>Monarch Machinery, Inc.</t>
  </si>
  <si>
    <t>Michael Atkinson</t>
  </si>
  <si>
    <t>monmac@tisd.net</t>
  </si>
  <si>
    <t>361-652-0003</t>
  </si>
  <si>
    <t>361-575-4322</t>
  </si>
  <si>
    <t>Mosaic Color and Additives</t>
  </si>
  <si>
    <t>Tony Puckett</t>
  </si>
  <si>
    <t>tpuckett@mosaiccolor.com</t>
  </si>
  <si>
    <t>Motch and Eichele</t>
  </si>
  <si>
    <t>Jeff Remaley</t>
  </si>
  <si>
    <t>MST Inc.</t>
  </si>
  <si>
    <t>Joe Gendron</t>
  </si>
  <si>
    <t>jgendron@mstextures.com</t>
  </si>
  <si>
    <t>MVP Plastics</t>
  </si>
  <si>
    <t>Frank Druschel</t>
  </si>
  <si>
    <t>frankd@mvpplastics.com</t>
  </si>
  <si>
    <t>330-507-8213</t>
  </si>
  <si>
    <t>440-834-1790</t>
  </si>
  <si>
    <t>Gary Brown</t>
  </si>
  <si>
    <t>330-849-3620</t>
  </si>
  <si>
    <t>MW Components</t>
  </si>
  <si>
    <t>Mark Tapocsi</t>
  </si>
  <si>
    <t>mtapocsi@mwcomponents.com</t>
  </si>
  <si>
    <t>Nabholz Company</t>
  </si>
  <si>
    <t>Andy Anderson</t>
  </si>
  <si>
    <t>andy.anderson@nabholz.com</t>
  </si>
  <si>
    <t>417-342-2817</t>
  </si>
  <si>
    <t>National Management Systems LLC</t>
  </si>
  <si>
    <t>Bill Mack</t>
  </si>
  <si>
    <t>Bill.MackJr@nmswastesolutions.com</t>
  </si>
  <si>
    <t>586-771-0700</t>
  </si>
  <si>
    <t>National Print Services</t>
  </si>
  <si>
    <t>Dan Preiss</t>
  </si>
  <si>
    <t>DPriess1@msn.com</t>
  </si>
  <si>
    <t>704-906-8117</t>
  </si>
  <si>
    <t>Navitas Systems</t>
  </si>
  <si>
    <t>Angie Muir</t>
  </si>
  <si>
    <t>amuir@navitassys.com</t>
  </si>
  <si>
    <t>906-379-8777</t>
  </si>
  <si>
    <t>NCT Technologies Group</t>
  </si>
  <si>
    <t>shawn landis</t>
  </si>
  <si>
    <t>slandis@ncttech.com</t>
  </si>
  <si>
    <t>Shawn Landis</t>
  </si>
  <si>
    <t>330-590-6036</t>
  </si>
  <si>
    <t>Netstal</t>
  </si>
  <si>
    <t>hayden.patton@Netstal.com</t>
  </si>
  <si>
    <t>859-414-3500</t>
  </si>
  <si>
    <t>Network Technologies</t>
  </si>
  <si>
    <t>Rod Budzowski</t>
  </si>
  <si>
    <t>330-562-7070</t>
  </si>
  <si>
    <t>New Era Converting Machinery, Inc.</t>
  </si>
  <si>
    <t>James Trommelen</t>
  </si>
  <si>
    <t>james.trommelen@neweraconverting.com</t>
  </si>
  <si>
    <t>862-257-9324</t>
  </si>
  <si>
    <t>New York Bakery of Syracuse</t>
  </si>
  <si>
    <t>Kim Slaby</t>
  </si>
  <si>
    <t>kim@newyorkbakery.com</t>
  </si>
  <si>
    <t>315-468-1655</t>
  </si>
  <si>
    <t>Newberger Tool &amp; Machine LLC</t>
  </si>
  <si>
    <t>Dave Newberger</t>
  </si>
  <si>
    <t>dnewberger92@gmail.com</t>
  </si>
  <si>
    <t>330-696-7314</t>
  </si>
  <si>
    <t>330-563-4549</t>
  </si>
  <si>
    <t>NH Acquisitions Corp.</t>
  </si>
  <si>
    <t>Ben Buchanan</t>
  </si>
  <si>
    <t>ben.buchanan@nhbco.com</t>
  </si>
  <si>
    <t>567-224-2368</t>
  </si>
  <si>
    <t>419-660-4081</t>
  </si>
  <si>
    <t>Tracy Chase</t>
  </si>
  <si>
    <t>tracy.chase@nhbco.com</t>
  </si>
  <si>
    <t>419-660-4046</t>
  </si>
  <si>
    <t>NOCO</t>
  </si>
  <si>
    <t>Allan Cargould</t>
  </si>
  <si>
    <t>Allan.cargould@no.co</t>
  </si>
  <si>
    <t>440-409-9989</t>
  </si>
  <si>
    <t>Noramco</t>
  </si>
  <si>
    <t>Ed Serri</t>
  </si>
  <si>
    <t>ed.serri@noramcobag.com</t>
  </si>
  <si>
    <t>330-361-2916</t>
  </si>
  <si>
    <t>330-627-2210</t>
  </si>
  <si>
    <t>Normandy Products</t>
  </si>
  <si>
    <t>Chris Hansen</t>
  </si>
  <si>
    <t>chris.hansen@normandyproducts.com</t>
  </si>
  <si>
    <t>440-636-3996</t>
  </si>
  <si>
    <t>chris.hansen@oldcastle.com</t>
  </si>
  <si>
    <t>440-632-5050</t>
  </si>
  <si>
    <t>North Coast Industrial Service</t>
  </si>
  <si>
    <t>Pat Miele</t>
  </si>
  <si>
    <t>pat@northcoastindustrial.com</t>
  </si>
  <si>
    <t>330-995-3300</t>
  </si>
  <si>
    <t>North High Brewing</t>
  </si>
  <si>
    <t>Gavin Myers</t>
  </si>
  <si>
    <t>gavin@northhighbrewing.com</t>
  </si>
  <si>
    <t>614-787-0965</t>
  </si>
  <si>
    <t>North West Inventory Solutions</t>
  </si>
  <si>
    <t>Cole Finsel</t>
  </si>
  <si>
    <t>419-722-1910</t>
  </si>
  <si>
    <t>Northcoast Shredding</t>
  </si>
  <si>
    <t>chet green</t>
  </si>
  <si>
    <t>cgreen@northcoastrecycling.com</t>
  </si>
  <si>
    <t>Nursery Supplies Company</t>
  </si>
  <si>
    <t>Mike McConnaghy</t>
  </si>
  <si>
    <t>michaelm@nurserysupplies.com</t>
  </si>
  <si>
    <t>407-499-5787</t>
  </si>
  <si>
    <t>Oasis Windows</t>
  </si>
  <si>
    <t>Navroop Singh</t>
  </si>
  <si>
    <t>navroop@oasiswindows.com</t>
  </si>
  <si>
    <t>604-598-5291</t>
  </si>
  <si>
    <t>OEM Miller</t>
  </si>
  <si>
    <t>Dan Graves</t>
  </si>
  <si>
    <t>dgraves@ilpeaindustries.com</t>
  </si>
  <si>
    <t>216-408-9842</t>
  </si>
  <si>
    <t>330-995-2464</t>
  </si>
  <si>
    <t>Garth Smicklevich</t>
  </si>
  <si>
    <t>gsmicklevich@ilpeaindustries.com</t>
  </si>
  <si>
    <t>330-322-7159</t>
  </si>
  <si>
    <t>330-995-2468</t>
  </si>
  <si>
    <t>gsmicklevich@ilpeasindustries.com</t>
  </si>
  <si>
    <t>330-562-2900</t>
  </si>
  <si>
    <t>Tim Shaw</t>
  </si>
  <si>
    <t>tshaw@ilpeaindustrices.com</t>
  </si>
  <si>
    <t>330-285-3920</t>
  </si>
  <si>
    <t>330-995-2475</t>
  </si>
  <si>
    <t>Ohio Cabinets</t>
  </si>
  <si>
    <t>Ed Bremer</t>
  </si>
  <si>
    <t>eb@ohiocabinets.com</t>
  </si>
  <si>
    <t>216-536-3229</t>
  </si>
  <si>
    <t>Ohio Carbon</t>
  </si>
  <si>
    <t>Buddy Bergman</t>
  </si>
  <si>
    <t>buddy@ohiocarbon.com</t>
  </si>
  <si>
    <t>330-466-7215</t>
  </si>
  <si>
    <t>419-496-2524</t>
  </si>
  <si>
    <t>Ohio Custom Dies</t>
  </si>
  <si>
    <t>Joe Baco</t>
  </si>
  <si>
    <t>joebaco@ohiocustomdies.com</t>
  </si>
  <si>
    <t>Ohio Metal Roofing</t>
  </si>
  <si>
    <t>Ivan Yoder</t>
  </si>
  <si>
    <t>sales@metalroofohio.com</t>
  </si>
  <si>
    <t>Ohio Storage Services</t>
  </si>
  <si>
    <t>Don Barlow</t>
  </si>
  <si>
    <t>330-431-0814</t>
  </si>
  <si>
    <t>Okaya USA, Inc.</t>
  </si>
  <si>
    <t>Rayan Wand</t>
  </si>
  <si>
    <t>zwang@okaya-usa.com</t>
  </si>
  <si>
    <t>919-465-2119</t>
  </si>
  <si>
    <t>Omnia-Dash</t>
  </si>
  <si>
    <t>Cowan Moore</t>
  </si>
  <si>
    <t>cmoore@omniamedical.com</t>
  </si>
  <si>
    <t>330-701-3922</t>
  </si>
  <si>
    <t>Orbis Corporation</t>
  </si>
  <si>
    <t>Doug Winters</t>
  </si>
  <si>
    <t>doug.winters@orbiscorporation.com</t>
  </si>
  <si>
    <t>502-542-8744</t>
  </si>
  <si>
    <t>Erin Stroup</t>
  </si>
  <si>
    <t>erin.stroup@orbiscorporation.com</t>
  </si>
  <si>
    <t>440-974-5686</t>
  </si>
  <si>
    <t>Jeane Mann</t>
  </si>
  <si>
    <t>jeane.mann@orbiscorporation.com</t>
  </si>
  <si>
    <t>440-479-9068</t>
  </si>
  <si>
    <t>Jeanne Mann</t>
  </si>
  <si>
    <t>jeanne.mann@orbiscorporation.com</t>
  </si>
  <si>
    <t>440-920-9324</t>
  </si>
  <si>
    <t>440-974-5643</t>
  </si>
  <si>
    <t>Lynn Hediger</t>
  </si>
  <si>
    <t>lyn.hediger@orbiscorporation.com</t>
  </si>
  <si>
    <t>262-560-5596</t>
  </si>
  <si>
    <t>Nate Barrus</t>
  </si>
  <si>
    <t>440.-975-6049</t>
  </si>
  <si>
    <t>Robert Soucy</t>
  </si>
  <si>
    <t>rob.soucy@orbiscorporation.com</t>
  </si>
  <si>
    <t>440-749-0489</t>
  </si>
  <si>
    <t>440-974-5657</t>
  </si>
  <si>
    <t>OSU Globus Medical</t>
  </si>
  <si>
    <t>Esther Jones</t>
  </si>
  <si>
    <t>ejones@globusmedical.com</t>
  </si>
  <si>
    <t>484-447-8588</t>
  </si>
  <si>
    <t>OVS Gringding Co</t>
  </si>
  <si>
    <t>Jeff Wise</t>
  </si>
  <si>
    <t>info@ovsgrinding.com</t>
  </si>
  <si>
    <t>330-554-8521</t>
  </si>
  <si>
    <t>330-208-0889</t>
  </si>
  <si>
    <t>Pan Logistics</t>
  </si>
  <si>
    <t>Andre P</t>
  </si>
  <si>
    <t>Parker Hannifin Corporation</t>
  </si>
  <si>
    <t>Greg Stanley</t>
  </si>
  <si>
    <t>greg.stanley@parker.com</t>
  </si>
  <si>
    <t>330-252-1322</t>
  </si>
  <si>
    <t>Scott Burrowbridge</t>
  </si>
  <si>
    <t>sburrowbridge@parker.com</t>
  </si>
  <si>
    <t>330-298-2792</t>
  </si>
  <si>
    <t>PC Krause &amp; Associates</t>
  </si>
  <si>
    <t>Glenn Zeller</t>
  </si>
  <si>
    <t>gzellar@pcka.com</t>
  </si>
  <si>
    <t>440-855-0264</t>
  </si>
  <si>
    <t>PDI Ground Support Systems</t>
  </si>
  <si>
    <t>Dale Walters</t>
  </si>
  <si>
    <t>dalew@thepdigroup.com</t>
  </si>
  <si>
    <t>216-213-4674</t>
  </si>
  <si>
    <t>Peerless Winsmith</t>
  </si>
  <si>
    <t>Paul Hardaway</t>
  </si>
  <si>
    <t>phardaway@winsmith.com</t>
  </si>
  <si>
    <t>716-592-8598</t>
  </si>
  <si>
    <t>Performance Health</t>
  </si>
  <si>
    <t>Ken Pavlak</t>
  </si>
  <si>
    <t>ken.pavlak@performancehealth.com</t>
  </si>
  <si>
    <t>Permco</t>
  </si>
  <si>
    <t>Mike Dalton</t>
  </si>
  <si>
    <t>mike.dalton@permco.com</t>
  </si>
  <si>
    <t>330-626-2210 x159</t>
  </si>
  <si>
    <t>Rex Workman</t>
  </si>
  <si>
    <t>rex.workman@permco.com</t>
  </si>
  <si>
    <t>Philpott Rubbert &amp; Plastics</t>
  </si>
  <si>
    <t>Ron Stayer</t>
  </si>
  <si>
    <t>rstayer@philpottrubber.com</t>
  </si>
  <si>
    <t>330-414-3536</t>
  </si>
  <si>
    <t>330-688-0654 ext. 402</t>
  </si>
  <si>
    <t>Pioneer Grinding</t>
  </si>
  <si>
    <t>James Sass</t>
  </si>
  <si>
    <t>JSass@pioneerserviceinc.com</t>
  </si>
  <si>
    <t>630-628-0249</t>
  </si>
  <si>
    <t>Pioneer Tool &amp; Die</t>
  </si>
  <si>
    <t>Bill Bill</t>
  </si>
  <si>
    <t>330-724-5572</t>
  </si>
  <si>
    <t>Pizza Fire</t>
  </si>
  <si>
    <t>John McCale</t>
  </si>
  <si>
    <t>j.mccale@yahoo.com</t>
  </si>
  <si>
    <t>330-314-4756</t>
  </si>
  <si>
    <t>Plastic Machinery Group</t>
  </si>
  <si>
    <t>Dan Hudak</t>
  </si>
  <si>
    <t>440-539-1036</t>
  </si>
  <si>
    <t>danh@plasticsmg.com</t>
  </si>
  <si>
    <t>440-498-4001</t>
  </si>
  <si>
    <t>Dan Patek</t>
  </si>
  <si>
    <t>danp@plasticsmg.com</t>
  </si>
  <si>
    <t>440-498-4000</t>
  </si>
  <si>
    <t>Gina Dougherty</t>
  </si>
  <si>
    <t>ginad@plasticsmg.com</t>
  </si>
  <si>
    <t>Sam Cultrona</t>
  </si>
  <si>
    <t>samc@plasticmg.com</t>
  </si>
  <si>
    <t>Plastic Materials, Inc.</t>
  </si>
  <si>
    <t>Jason Richardson</t>
  </si>
  <si>
    <t>330-697-2219</t>
  </si>
  <si>
    <t>Plastiwin Capital Equipment</t>
  </si>
  <si>
    <t>Joe Morris</t>
  </si>
  <si>
    <t>jmorris@plastiwin.com</t>
  </si>
  <si>
    <t>440-840-2113</t>
  </si>
  <si>
    <t>Scott Cantor</t>
  </si>
  <si>
    <t>scantor@plastiwin.com</t>
  </si>
  <si>
    <t>330-998-6738</t>
  </si>
  <si>
    <t>Polyfill LLC</t>
  </si>
  <si>
    <t>David Monette</t>
  </si>
  <si>
    <t>dmonette@polyfillproducts.com</t>
  </si>
  <si>
    <t>937-638-8773</t>
  </si>
  <si>
    <t>937-493-0041- ext295</t>
  </si>
  <si>
    <t>Mike Clark</t>
  </si>
  <si>
    <t>mclark@polyfillproducts.com</t>
  </si>
  <si>
    <t>937-622-8524</t>
  </si>
  <si>
    <t>937-493-0041-ext293</t>
  </si>
  <si>
    <t>Wayne Bowser</t>
  </si>
  <si>
    <t>wbowser@polyfillproducts.com</t>
  </si>
  <si>
    <t>937-710-6440</t>
  </si>
  <si>
    <t>937-493-0041 x249</t>
  </si>
  <si>
    <t>Polykala Tech</t>
  </si>
  <si>
    <t>Mark Feng</t>
  </si>
  <si>
    <t>contact@polykalatech.com</t>
  </si>
  <si>
    <t>210-248-4440</t>
  </si>
  <si>
    <t>Polymer Machinery Company</t>
  </si>
  <si>
    <t>Derek Baker</t>
  </si>
  <si>
    <t>330-289-0456</t>
  </si>
  <si>
    <t>Polymer5</t>
  </si>
  <si>
    <t>Richard Harris</t>
  </si>
  <si>
    <t>rharris@polymer5.com</t>
  </si>
  <si>
    <t>330-920-9353</t>
  </si>
  <si>
    <t>PolyOne Corporation</t>
  </si>
  <si>
    <t>Bogan Gawdyda</t>
  </si>
  <si>
    <t>bogan.gawdyda@polyone.com</t>
  </si>
  <si>
    <t>Dan Spanos</t>
  </si>
  <si>
    <t>dan.spanos@polyone.com</t>
  </si>
  <si>
    <t>419-744-0558</t>
  </si>
  <si>
    <t>Kurt Schuering</t>
  </si>
  <si>
    <t>kurt.schuering@polyone.com</t>
  </si>
  <si>
    <t>Lee Jester</t>
  </si>
  <si>
    <t>lee.jester@polyone.com</t>
  </si>
  <si>
    <t>Positech Corporation</t>
  </si>
  <si>
    <t>Jerry Meiers</t>
  </si>
  <si>
    <t>jerrym@positech.com</t>
  </si>
  <si>
    <t>423-217-9331</t>
  </si>
  <si>
    <t>Precision Fin. Sys.</t>
  </si>
  <si>
    <t>Barbara Lipuma</t>
  </si>
  <si>
    <t>blipuma@outlook.com</t>
  </si>
  <si>
    <t>Premier Equipment</t>
  </si>
  <si>
    <t>Ken Elinsky</t>
  </si>
  <si>
    <t>216-906-9174</t>
  </si>
  <si>
    <t>Tabatha Byrd</t>
  </si>
  <si>
    <t>tab@premierequipment.com</t>
  </si>
  <si>
    <t>407-786-2000</t>
  </si>
  <si>
    <t>Premium Conwin</t>
  </si>
  <si>
    <t>wes schroeder</t>
  </si>
  <si>
    <t>wes@premiumballoon.com</t>
  </si>
  <si>
    <t>Process Cooling</t>
  </si>
  <si>
    <t>Dan Rudy</t>
  </si>
  <si>
    <t>drudy@processcooling.net</t>
  </si>
  <si>
    <t>978-790-4562</t>
  </si>
  <si>
    <t>978-537-1996</t>
  </si>
  <si>
    <t>Proform Group</t>
  </si>
  <si>
    <t>Bud Davis</t>
  </si>
  <si>
    <t>916-682-8666 ext. 1212</t>
  </si>
  <si>
    <t>Progressive Insurance</t>
  </si>
  <si>
    <t>Joseph Comstock</t>
  </si>
  <si>
    <t>Joseph_A_Comstock@progressive.com</t>
  </si>
  <si>
    <t>216-774-4076</t>
  </si>
  <si>
    <t>PurFoods</t>
  </si>
  <si>
    <t>Sam Boyer</t>
  </si>
  <si>
    <t>SAMUEL.BOYER@PURFOODS.COM</t>
  </si>
  <si>
    <t>330-783-2860</t>
  </si>
  <si>
    <t>Pyramid Mold &amp; Machine Inc.</t>
  </si>
  <si>
    <t>Paul Siciliano</t>
  </si>
  <si>
    <t>psiciliano@pyramidmold-machine.com</t>
  </si>
  <si>
    <t>330-673-5200</t>
  </si>
  <si>
    <t>Pyrotek</t>
  </si>
  <si>
    <t>Dave Walters</t>
  </si>
  <si>
    <t>davwal@pyrotek-inc.com</t>
  </si>
  <si>
    <t>440-349-8842</t>
  </si>
  <si>
    <t>George McSears</t>
  </si>
  <si>
    <t>geomcs@pyrotek-inc.com</t>
  </si>
  <si>
    <t>440-478-4056</t>
  </si>
  <si>
    <t>Jim Michalski</t>
  </si>
  <si>
    <t>jimmic@pyrotek-inc.com</t>
  </si>
  <si>
    <t>440-477-4682</t>
  </si>
  <si>
    <t>440-349-8800</t>
  </si>
  <si>
    <t>Kim Schmelarsky</t>
  </si>
  <si>
    <t>montom@pyrotek-inc.com</t>
  </si>
  <si>
    <t>234-213-3580</t>
  </si>
  <si>
    <t>Kirk Young</t>
  </si>
  <si>
    <t>kiryou@pyrotek-inc.com</t>
  </si>
  <si>
    <t>216-470-9835</t>
  </si>
  <si>
    <t>440-349-8824</t>
  </si>
  <si>
    <t>Mona Tomasetti</t>
  </si>
  <si>
    <t>440-840-8120</t>
  </si>
  <si>
    <t>440-349-8832</t>
  </si>
  <si>
    <t>Patrick Finney</t>
  </si>
  <si>
    <t>patfin@pyrotek-inc.com</t>
  </si>
  <si>
    <t>216-633-5558</t>
  </si>
  <si>
    <t>Robert Swaffield</t>
  </si>
  <si>
    <t>bobswa@pyrotek-inc.com</t>
  </si>
  <si>
    <t>440-221-8782</t>
  </si>
  <si>
    <t>330-349-8849</t>
  </si>
  <si>
    <t>Q-Model Inc</t>
  </si>
  <si>
    <t>Todd Strohfos</t>
  </si>
  <si>
    <t>todd@qmodelinc.net</t>
  </si>
  <si>
    <t>330-733-6545 x22</t>
  </si>
  <si>
    <t>QC Electronics</t>
  </si>
  <si>
    <t>Craig Curk</t>
  </si>
  <si>
    <t>859-441-2223</t>
  </si>
  <si>
    <t>Quala</t>
  </si>
  <si>
    <t>Cody Hornyak</t>
  </si>
  <si>
    <t>chornyak@quala.us.com</t>
  </si>
  <si>
    <t>216-905-4576</t>
  </si>
  <si>
    <t>Robert Price</t>
  </si>
  <si>
    <t>rprice@quala.us.com</t>
  </si>
  <si>
    <t>248-202-9504</t>
  </si>
  <si>
    <t>Todd Coryea</t>
  </si>
  <si>
    <t>tcoryea@quala.us.com</t>
  </si>
  <si>
    <t>813-392-9181</t>
  </si>
  <si>
    <t>Quality Fabrication</t>
  </si>
  <si>
    <t>Ivan Cagaric</t>
  </si>
  <si>
    <t>qualityfab44@yahoo.com</t>
  </si>
  <si>
    <t>330-714-5244</t>
  </si>
  <si>
    <t>Quantum Metals</t>
  </si>
  <si>
    <t>Jesse Gaither</t>
  </si>
  <si>
    <t>513-200-7248</t>
  </si>
  <si>
    <t>Quest Specialty Products</t>
  </si>
  <si>
    <t>Dan Fitter</t>
  </si>
  <si>
    <t>dan.fitter@qsp-inc.com</t>
  </si>
  <si>
    <t>317-736-6560</t>
  </si>
  <si>
    <t>R. Shea Brewing Co.</t>
  </si>
  <si>
    <t>Brian Rumschlag</t>
  </si>
  <si>
    <t>Brian.rumschlag@rsheabrewing.com</t>
  </si>
  <si>
    <t>Radici Plastics USA Inc.</t>
  </si>
  <si>
    <t>Derek McCune</t>
  </si>
  <si>
    <t>derek.mccune@radicigroup.com</t>
  </si>
  <si>
    <t>330-336-7611</t>
  </si>
  <si>
    <t>Federico Percassi</t>
  </si>
  <si>
    <t>federico.percassi@radicigroup.com</t>
  </si>
  <si>
    <t>Jayme Garfield</t>
  </si>
  <si>
    <t>jayme.garfield@radicigroup.com</t>
  </si>
  <si>
    <t>330-283-7091</t>
  </si>
  <si>
    <t>John Hippli</t>
  </si>
  <si>
    <t>johnhippli@radicigroup.com</t>
  </si>
  <si>
    <t>john.hippli@radicigroup.com</t>
  </si>
  <si>
    <t>330-419-0421</t>
  </si>
  <si>
    <t>Steve Neumann</t>
  </si>
  <si>
    <t>steve.neumann@radicigroup.com</t>
  </si>
  <si>
    <t>330-620-5125</t>
  </si>
  <si>
    <t>330-331-3219</t>
  </si>
  <si>
    <t>William Rankin</t>
  </si>
  <si>
    <t>william.rankin@radicigroup.com</t>
  </si>
  <si>
    <t>330-810-7382</t>
  </si>
  <si>
    <t>Rafter Equipment Corp</t>
  </si>
  <si>
    <t>Tyler Sweet</t>
  </si>
  <si>
    <t>tsweet@rafterequipment.com</t>
  </si>
  <si>
    <t>Raging Wolf Solutions</t>
  </si>
  <si>
    <t>Brandon Brownfield</t>
  </si>
  <si>
    <t>brandonb@ragingwolfsolutions.com</t>
  </si>
  <si>
    <t>330-592-6902</t>
  </si>
  <si>
    <t>Rapid Mold &amp; Machine</t>
  </si>
  <si>
    <t>Zeljko Tomic</t>
  </si>
  <si>
    <t>rmrmachine@gmail.com</t>
  </si>
  <si>
    <t>330-212-5210</t>
  </si>
  <si>
    <t>Rapid Products Group, LLC.</t>
  </si>
  <si>
    <t>Joe Sutherland</t>
  </si>
  <si>
    <t>joe.s@rapidrain.com</t>
  </si>
  <si>
    <t>(888) 822-3204</t>
  </si>
  <si>
    <t>Regal Equipment</t>
  </si>
  <si>
    <t>Mike Schatz</t>
  </si>
  <si>
    <t>mike@regalequipment.com</t>
  </si>
  <si>
    <t>330-325-9000</t>
  </si>
  <si>
    <t>Resco Products Inc.</t>
  </si>
  <si>
    <t>Mark Tice</t>
  </si>
  <si>
    <t>mark.tice@rescoproducts.com</t>
  </si>
  <si>
    <t>304-670-8832</t>
  </si>
  <si>
    <t>Terry Sands</t>
  </si>
  <si>
    <t>terry.sands@rescoeproducts.com</t>
  </si>
  <si>
    <t>330-819-4498</t>
  </si>
  <si>
    <t>Ridgid Tool Company</t>
  </si>
  <si>
    <t>Randy Bobbs</t>
  </si>
  <si>
    <t>randy.bobbs@emerson.com</t>
  </si>
  <si>
    <t>440-329-4715</t>
  </si>
  <si>
    <t>River Valley Paper Co.</t>
  </si>
  <si>
    <t>Bradd Kurtz</t>
  </si>
  <si>
    <t>bradd@rivercor.cc</t>
  </si>
  <si>
    <t>330-784-1113</t>
  </si>
  <si>
    <t>Jeff Plant Manager</t>
  </si>
  <si>
    <t>330-535-1001</t>
  </si>
  <si>
    <t>Riverside Local Schools</t>
  </si>
  <si>
    <t>Bob Pearson</t>
  </si>
  <si>
    <t>bob.pearson@riversideschools.net</t>
  </si>
  <si>
    <t>440-413-2320</t>
  </si>
  <si>
    <t>RJ Martin Electric</t>
  </si>
  <si>
    <t>Dan Balzer</t>
  </si>
  <si>
    <t>dbalzer@rjmartin.net</t>
  </si>
  <si>
    <t>216-662-7100</t>
  </si>
  <si>
    <t>David Berardi</t>
  </si>
  <si>
    <t>dberardi@rjmartin.net</t>
  </si>
  <si>
    <t>216-374-8974</t>
  </si>
  <si>
    <t>Johnny Riling</t>
  </si>
  <si>
    <t>jriling@rjmartin.net</t>
  </si>
  <si>
    <t>216-469-9458</t>
  </si>
  <si>
    <t>843-352-9820</t>
  </si>
  <si>
    <t>Tony Free</t>
  </si>
  <si>
    <t>TFree@rjmartin.net</t>
  </si>
  <si>
    <t>216-662-6525</t>
  </si>
  <si>
    <t>Robert Ziade</t>
  </si>
  <si>
    <t>bobbyz@triplestitch.nyc</t>
  </si>
  <si>
    <t>347-742-8208</t>
  </si>
  <si>
    <t>347-560-8406</t>
  </si>
  <si>
    <t>Robson Forensic</t>
  </si>
  <si>
    <t>Tim Wilhelm</t>
  </si>
  <si>
    <t>tmwilhelm@robsonforensic.com</t>
  </si>
  <si>
    <t>814-528-1874</t>
  </si>
  <si>
    <t>Rochling Automotive</t>
  </si>
  <si>
    <t>John Hoskinson</t>
  </si>
  <si>
    <t>John.Hoskinson@roechling-automotive.us</t>
  </si>
  <si>
    <t>330-741-2205</t>
  </si>
  <si>
    <t>330-400-5836</t>
  </si>
  <si>
    <t>Ronlen Industries Inc</t>
  </si>
  <si>
    <t>Gregory Lutch</t>
  </si>
  <si>
    <t>glutch@ronlen.com</t>
  </si>
  <si>
    <t>330-273-6468</t>
  </si>
  <si>
    <t>Jason Lutch</t>
  </si>
  <si>
    <t>jlutch@ronlen.com</t>
  </si>
  <si>
    <t>John Kmiecik</t>
  </si>
  <si>
    <t>jkmiecik@ronlen.com</t>
  </si>
  <si>
    <t>440-666-4255</t>
  </si>
  <si>
    <t>Rosendin Electric</t>
  </si>
  <si>
    <t>Jim Crisafulli</t>
  </si>
  <si>
    <t>jcrisafulli@rosendin.com</t>
  </si>
  <si>
    <t>571-643-9113</t>
  </si>
  <si>
    <t>Ross Builders</t>
  </si>
  <si>
    <t>Scott Diedrick</t>
  </si>
  <si>
    <t>office@rossbuilderco.com</t>
  </si>
  <si>
    <t>440-567-0394</t>
  </si>
  <si>
    <t>Rotary Tech</t>
  </si>
  <si>
    <t>Chad Derbyshire</t>
  </si>
  <si>
    <t>cderbyshire@rotarytechinc.com</t>
  </si>
  <si>
    <t>440-862-8568</t>
  </si>
  <si>
    <t>Rotocast Technologies Inc.</t>
  </si>
  <si>
    <t>Herb Pickrell</t>
  </si>
  <si>
    <t>herb@rotocastmold.com</t>
  </si>
  <si>
    <t>Rotoline</t>
  </si>
  <si>
    <t>Alain St.Piere</t>
  </si>
  <si>
    <t>astpierre@rotoline.com</t>
  </si>
  <si>
    <t>330-677-3223</t>
  </si>
  <si>
    <t>RT Instruments</t>
  </si>
  <si>
    <t>Ashly Rivas</t>
  </si>
  <si>
    <t>ashly.rivas@rtinstruments.com</t>
  </si>
  <si>
    <t>530-681-1586</t>
  </si>
  <si>
    <t>Rubber Associates</t>
  </si>
  <si>
    <t>Kip Fiocca</t>
  </si>
  <si>
    <t>kipf@rubberassociates.com</t>
  </si>
  <si>
    <t>330-745-2186</t>
  </si>
  <si>
    <t>Rubicon Rubber</t>
  </si>
  <si>
    <t>Vince Del Medico</t>
  </si>
  <si>
    <t>vince@rubiconrubber.com</t>
  </si>
  <si>
    <t>330-388-2819</t>
  </si>
  <si>
    <t>RW Beckett Corp.</t>
  </si>
  <si>
    <t>Bruce Dempsey</t>
  </si>
  <si>
    <t>bdempsey@beckettcorp.com</t>
  </si>
  <si>
    <t>440-353-6353</t>
  </si>
  <si>
    <t>S &amp; A Industries</t>
  </si>
  <si>
    <t>330-733-6040 ext 1117</t>
  </si>
  <si>
    <t>Jim Clark</t>
  </si>
  <si>
    <t>jclark@s-aindustries.com</t>
  </si>
  <si>
    <t>330-842-2303</t>
  </si>
  <si>
    <t>S&amp;M machinery</t>
  </si>
  <si>
    <t>Spencer Machinery</t>
  </si>
  <si>
    <t>S&amp;S Machine</t>
  </si>
  <si>
    <t>Steve Baker</t>
  </si>
  <si>
    <t>steve@ssmachine.co</t>
  </si>
  <si>
    <t>330-785-0455</t>
  </si>
  <si>
    <t>S&amp;S Packaging Products, Inc.</t>
  </si>
  <si>
    <t>Brad Stuart</t>
  </si>
  <si>
    <t>brad@sandspacking.com</t>
  </si>
  <si>
    <t>814-756-3926</t>
  </si>
  <si>
    <t>S.A. Comunale</t>
  </si>
  <si>
    <t>Mark Haury</t>
  </si>
  <si>
    <t>330-706-3040</t>
  </si>
  <si>
    <t>Safe Air Valve</t>
  </si>
  <si>
    <t>Adam Jenkins</t>
  </si>
  <si>
    <t>adam@safeairvalve.com</t>
  </si>
  <si>
    <t>440-725-5169</t>
  </si>
  <si>
    <t>Saint Gobain</t>
  </si>
  <si>
    <t>Brian Burkhardt</t>
  </si>
  <si>
    <t>brian.burkhardt@saint-gobain.com</t>
  </si>
  <si>
    <t>330-677-7888</t>
  </si>
  <si>
    <t>Dan Sherman</t>
  </si>
  <si>
    <t>dan.sherman@saint-gobain.com</t>
  </si>
  <si>
    <t>330-289-1580</t>
  </si>
  <si>
    <t>Jeff Dunlap</t>
  </si>
  <si>
    <t>jeff.dunlap@saint-gobain.com</t>
  </si>
  <si>
    <t>330-677-3576</t>
  </si>
  <si>
    <t>Salem- Republic Rubber Company</t>
  </si>
  <si>
    <t>Scherer Inc</t>
  </si>
  <si>
    <t>Lance Bushby</t>
  </si>
  <si>
    <t>lanceb@schererinc.com</t>
  </si>
  <si>
    <t>605-376-7068</t>
  </si>
  <si>
    <t>Schlabach Printers</t>
  </si>
  <si>
    <t>Roman Troyer</t>
  </si>
  <si>
    <t>rtroyer@schlabachprinters.com</t>
  </si>
  <si>
    <t>330-852-4687</t>
  </si>
  <si>
    <t>Schneller</t>
  </si>
  <si>
    <t>John Phillips</t>
  </si>
  <si>
    <t>jphillips@schneller.com</t>
  </si>
  <si>
    <t>330-676-7173</t>
  </si>
  <si>
    <t>330-673-1400</t>
  </si>
  <si>
    <t>Mike Kubrin</t>
  </si>
  <si>
    <t>330-676-7194</t>
  </si>
  <si>
    <t>Schott Metal Products</t>
  </si>
  <si>
    <t>Dave Schott</t>
  </si>
  <si>
    <t>330-773-7873</t>
  </si>
  <si>
    <t>Schwebel Baking Company</t>
  </si>
  <si>
    <t>Alyson Winicka</t>
  </si>
  <si>
    <t>alysonwinicka@sbcglobal.net</t>
  </si>
  <si>
    <t>216-548-6777</t>
  </si>
  <si>
    <t>Brad Benefield</t>
  </si>
  <si>
    <t>benefieldb@schwebels.com</t>
  </si>
  <si>
    <t>440-248-1500 x6325</t>
  </si>
  <si>
    <t>Chuck Bollinger</t>
  </si>
  <si>
    <t>bollinger@schwebels.com</t>
  </si>
  <si>
    <t>Dave Gulau</t>
  </si>
  <si>
    <t>John Kemp</t>
  </si>
  <si>
    <t>Kempj@schwebels.com</t>
  </si>
  <si>
    <t>330-929-9507</t>
  </si>
  <si>
    <t>Michael Curtis</t>
  </si>
  <si>
    <t>curtism@schwebels.com</t>
  </si>
  <si>
    <t>Ron Little</t>
  </si>
  <si>
    <t>Tim Van Erstvelde</t>
  </si>
  <si>
    <t>vanerstveldet@schwebels.com</t>
  </si>
  <si>
    <t>330-783-2860 x6125</t>
  </si>
  <si>
    <t>Scotchman Electric</t>
  </si>
  <si>
    <t>Scott Russell</t>
  </si>
  <si>
    <t>sec@scotchmanelectric.com</t>
  </si>
  <si>
    <t>Screen Americas</t>
  </si>
  <si>
    <t>Traci Smith</t>
  </si>
  <si>
    <t>Traci.Smith@screenamericas.com</t>
  </si>
  <si>
    <t>847-870-1960  ext 2535</t>
  </si>
  <si>
    <t>Seal Company</t>
  </si>
  <si>
    <t>David Oldham</t>
  </si>
  <si>
    <t>doldham@sealcompany.com</t>
  </si>
  <si>
    <t>Seal Corp USA</t>
  </si>
  <si>
    <t>David Mercer</t>
  </si>
  <si>
    <t>davemercer@sealcorpusa.com</t>
  </si>
  <si>
    <t>/ 812-431-7216</t>
  </si>
  <si>
    <t>Seco Machine</t>
  </si>
  <si>
    <t>David Seccombe</t>
  </si>
  <si>
    <t>dseccombe@secomachine.com</t>
  </si>
  <si>
    <t>330-499-2150</t>
  </si>
  <si>
    <t>Dennis Stewart</t>
  </si>
  <si>
    <t>dennis.stewart@secomachine.com</t>
  </si>
  <si>
    <t>330-807-1816</t>
  </si>
  <si>
    <t>Mark Hiszem</t>
  </si>
  <si>
    <t>mark.hiszem@secomachine.com</t>
  </si>
  <si>
    <t>Mark.hiszem@secomachine.com</t>
  </si>
  <si>
    <t>330-810-1707</t>
  </si>
  <si>
    <t>Teresa Kerekes</t>
  </si>
  <si>
    <t>330-794-2310</t>
  </si>
  <si>
    <t>Thomas Seccombe</t>
  </si>
  <si>
    <t>tseccombe@secomachine.com</t>
  </si>
  <si>
    <t>330-685-3504</t>
  </si>
  <si>
    <t>SGB - USA</t>
  </si>
  <si>
    <t>Steven Boyer</t>
  </si>
  <si>
    <t>sboyer@sgb-usa.com</t>
  </si>
  <si>
    <t>330-206-0739</t>
  </si>
  <si>
    <t>Shurtape Technologies, LLC</t>
  </si>
  <si>
    <t>John Ader</t>
  </si>
  <si>
    <t>jader@shurtape.com</t>
  </si>
  <si>
    <t>828-267-8104</t>
  </si>
  <si>
    <t>Silver Lake Industrial</t>
  </si>
  <si>
    <t>Digger Rhodes</t>
  </si>
  <si>
    <t>diggersilverlake@gmail.com</t>
  </si>
  <si>
    <t>260-349-2771</t>
  </si>
  <si>
    <t>Doug Dyson</t>
  </si>
  <si>
    <t>doug@silverlakein.com</t>
  </si>
  <si>
    <t>572-551-1454</t>
  </si>
  <si>
    <t>Six Axis Solutions</t>
  </si>
  <si>
    <t>Joe Hlas</t>
  </si>
  <si>
    <t>joe@sixaxissolutions.com</t>
  </si>
  <si>
    <t>330-980-1676</t>
  </si>
  <si>
    <t>Smith Machine</t>
  </si>
  <si>
    <t>Jim Smith</t>
  </si>
  <si>
    <t>330-821-9898</t>
  </si>
  <si>
    <t>Smith Machine Works</t>
  </si>
  <si>
    <t>Casey Smith</t>
  </si>
  <si>
    <t>Smithers-Oasis North America</t>
  </si>
  <si>
    <t>David Hyre</t>
  </si>
  <si>
    <t>dhyre@smithersoasis.com</t>
  </si>
  <si>
    <t>330-357-2341</t>
  </si>
  <si>
    <t>Matt Thomas</t>
  </si>
  <si>
    <t>330-676-4418</t>
  </si>
  <si>
    <t>Soberay &amp; Sons</t>
  </si>
  <si>
    <t>Ryan Soberay</t>
  </si>
  <si>
    <t>216-337-1809</t>
  </si>
  <si>
    <t>Solmet Technologies</t>
  </si>
  <si>
    <t>Kurt Cerwinski</t>
  </si>
  <si>
    <t>kurt@solmet.net</t>
  </si>
  <si>
    <t>Matt Halter</t>
  </si>
  <si>
    <t>MattH@solmet.net</t>
  </si>
  <si>
    <t>330-915-8918</t>
  </si>
  <si>
    <t>330-904-8037</t>
  </si>
  <si>
    <t>Solo Development</t>
  </si>
  <si>
    <t>RIck Hopkins</t>
  </si>
  <si>
    <t>rickh@solocle.com</t>
  </si>
  <si>
    <t>440-804-4068</t>
  </si>
  <si>
    <t>(216) 203-2147</t>
  </si>
  <si>
    <t>Solugen Tech</t>
  </si>
  <si>
    <t>Caitlin Molloy</t>
  </si>
  <si>
    <t>caitlin@solugentech.com</t>
  </si>
  <si>
    <t>281-389-5515</t>
  </si>
  <si>
    <t>713-380-2134</t>
  </si>
  <si>
    <t>Solutions413</t>
  </si>
  <si>
    <t>Neil Plunkett</t>
  </si>
  <si>
    <t>nplunkett@solutions413.com</t>
  </si>
  <si>
    <t>SP Plus</t>
  </si>
  <si>
    <t>Tom Strasshofer</t>
  </si>
  <si>
    <t>tstrasshofer@spplus.com</t>
  </si>
  <si>
    <t>216-798-5428</t>
  </si>
  <si>
    <t>Spears Funeral Home</t>
  </si>
  <si>
    <t>Steven Spears</t>
  </si>
  <si>
    <t>spears221@icloud.com</t>
  </si>
  <si>
    <t>614-989-8905</t>
  </si>
  <si>
    <t>SRP Industries</t>
  </si>
  <si>
    <t>Josh Hall</t>
  </si>
  <si>
    <t>josh@srpindustries.com</t>
  </si>
  <si>
    <t>330-784-1291</t>
  </si>
  <si>
    <t>St. Armands Baking Company</t>
  </si>
  <si>
    <t>Bernard Vroom</t>
  </si>
  <si>
    <t>bernard@starbake.com</t>
  </si>
  <si>
    <t>941-356-7272</t>
  </si>
  <si>
    <t>941-753-7494</t>
  </si>
  <si>
    <t>St. Gobain</t>
  </si>
  <si>
    <t>Dan.sherman@saint-gobain.com</t>
  </si>
  <si>
    <t>Ed Rosenberger</t>
  </si>
  <si>
    <t>ed.rosenberger@saint-gobain.com</t>
  </si>
  <si>
    <t>330-798-9240-Ext 56937</t>
  </si>
  <si>
    <t>Frank Gergely</t>
  </si>
  <si>
    <t>frank.gergely@saint-gobain.com</t>
  </si>
  <si>
    <t>Jeff.dunlap@saint-gobain.com</t>
  </si>
  <si>
    <t>Joseph Yu</t>
  </si>
  <si>
    <t>joseph.yu@saint-gobain.com</t>
  </si>
  <si>
    <t>Matt Hillyer</t>
  </si>
  <si>
    <t>matt.hillyer@saint-gobain.com</t>
  </si>
  <si>
    <t>330-677-3598</t>
  </si>
  <si>
    <t>Michael Francis</t>
  </si>
  <si>
    <t>michael.francis@saint-gobain.com</t>
  </si>
  <si>
    <t>330-677-3508</t>
  </si>
  <si>
    <t>Sue Lamb</t>
  </si>
  <si>
    <t>330-296-9940</t>
  </si>
  <si>
    <t>Stamped Steel Products Inc.</t>
  </si>
  <si>
    <t>Larry O'Dell</t>
  </si>
  <si>
    <t>330-745-8244</t>
  </si>
  <si>
    <t>Michael Geiger</t>
  </si>
  <si>
    <t>mgeiger@neohio.twcbc.com</t>
  </si>
  <si>
    <t>330-207-5357</t>
  </si>
  <si>
    <t>Mike Geiger</t>
  </si>
  <si>
    <t>Standard Arms Inc.</t>
  </si>
  <si>
    <t>ryan husky</t>
  </si>
  <si>
    <t>rhusk34@gmail.com</t>
  </si>
  <si>
    <t>Steere Enterprises</t>
  </si>
  <si>
    <t>Mark Stahl</t>
  </si>
  <si>
    <t>MAS@steere.com</t>
  </si>
  <si>
    <t>330-603-7911</t>
  </si>
  <si>
    <t>Scott Krohl</t>
  </si>
  <si>
    <t>spk@steere.com</t>
  </si>
  <si>
    <t>330-564-1807</t>
  </si>
  <si>
    <t>Tony Demeio</t>
  </si>
  <si>
    <t>tld@steere.com</t>
  </si>
  <si>
    <t>Steere Enterprises, Inc.</t>
  </si>
  <si>
    <t>Brian Steere</t>
  </si>
  <si>
    <t>bjs@steere.com</t>
  </si>
  <si>
    <t>330-696-1318</t>
  </si>
  <si>
    <t>330-564-1888</t>
  </si>
  <si>
    <t>Mike Belcik</t>
  </si>
  <si>
    <t>mab@steere.com</t>
  </si>
  <si>
    <t>330-347-5306</t>
  </si>
  <si>
    <t>330-564-1892</t>
  </si>
  <si>
    <t>Paul Kresowaty</t>
  </si>
  <si>
    <t>330-414-5124</t>
  </si>
  <si>
    <t>Scott Krol</t>
  </si>
  <si>
    <t>330-730-4490</t>
  </si>
  <si>
    <t>Tony DeMeio</t>
  </si>
  <si>
    <t>330-612-2481</t>
  </si>
  <si>
    <t>330-564-1815</t>
  </si>
  <si>
    <t>Step2 Company</t>
  </si>
  <si>
    <t>Frank Neff</t>
  </si>
  <si>
    <t>fneff@step2.net</t>
  </si>
  <si>
    <t>330-352-1250</t>
  </si>
  <si>
    <t>Sherry Albertson</t>
  </si>
  <si>
    <t>salbertson@step2.net</t>
  </si>
  <si>
    <t>330-357-7596</t>
  </si>
  <si>
    <t>330-656-0440</t>
  </si>
  <si>
    <t>Steris Corp.</t>
  </si>
  <si>
    <t>Don Kreider</t>
  </si>
  <si>
    <t>440-223-8124</t>
  </si>
  <si>
    <t>Susan Michael</t>
  </si>
  <si>
    <t>susan.michael@weiss-technik.com</t>
  </si>
  <si>
    <t>513-719-3215</t>
  </si>
  <si>
    <t>StoreTek Engineering</t>
  </si>
  <si>
    <t>Allie Angel</t>
  </si>
  <si>
    <t>aangel@storetekeng.com</t>
  </si>
  <si>
    <t>Nate Cain</t>
  </si>
  <si>
    <t>ncain@storetekeng.com</t>
  </si>
  <si>
    <t>330-294-0678</t>
  </si>
  <si>
    <t>Sullivan Industrial</t>
  </si>
  <si>
    <t>Kevin Sullivan</t>
  </si>
  <si>
    <t>kevin@sullivanindustrialservices.com</t>
  </si>
  <si>
    <t>Sumitomo Rubber-USA</t>
  </si>
  <si>
    <t>Andrew Mattheis</t>
  </si>
  <si>
    <t>andrew_mattheis@sumitomorubber-usa.com</t>
  </si>
  <si>
    <t>716-998-1889</t>
  </si>
  <si>
    <t>Bob Carmichael</t>
  </si>
  <si>
    <t>bcarmichael@sumitomorubber-usa.com</t>
  </si>
  <si>
    <t>716-812-3526</t>
  </si>
  <si>
    <t>716-879-8544</t>
  </si>
  <si>
    <t>Chris Marzec</t>
  </si>
  <si>
    <t>cmarzec@sumitomorubber-usa.com</t>
  </si>
  <si>
    <t>716-449-1785</t>
  </si>
  <si>
    <t>716-879-8409</t>
  </si>
  <si>
    <t>Christopher Erdmann</t>
  </si>
  <si>
    <t>christopher_erdmann@sumitomorubber-usa.com</t>
  </si>
  <si>
    <t>Fernanda Reboreda</t>
  </si>
  <si>
    <t>Jim Essack</t>
  </si>
  <si>
    <t>jesack@sumitomorubber-usa.com</t>
  </si>
  <si>
    <t>716-863-3967</t>
  </si>
  <si>
    <t>716-879-8498</t>
  </si>
  <si>
    <t>Phil Teagarden</t>
  </si>
  <si>
    <t>pteagarden@sumitomorubber-usa.com</t>
  </si>
  <si>
    <t>716-289-6368</t>
  </si>
  <si>
    <t>716-879-8953</t>
  </si>
  <si>
    <t>Summit Brands</t>
  </si>
  <si>
    <t>Chris Webb</t>
  </si>
  <si>
    <t>cwebb@summitbrands.com</t>
  </si>
  <si>
    <t>260-571-4710</t>
  </si>
  <si>
    <t>Summit Missions International</t>
  </si>
  <si>
    <t>Esley Patsch</t>
  </si>
  <si>
    <t>esley@summitmissions.org</t>
  </si>
  <si>
    <t>330-620-4064</t>
  </si>
  <si>
    <t>330-896-9300</t>
  </si>
  <si>
    <t>Surplus Liquidators</t>
  </si>
  <si>
    <t>Dave Unknown</t>
  </si>
  <si>
    <t>websales@youngauctions.com</t>
  </si>
  <si>
    <t>248-80-0936</t>
  </si>
  <si>
    <t>Survitec Group</t>
  </si>
  <si>
    <t>Jeffery Rohrbaugh</t>
  </si>
  <si>
    <t>Jeff.rohrbaugh@survitecgroup.com</t>
  </si>
  <si>
    <t>Sutphen Tower Inc</t>
  </si>
  <si>
    <t>Yoseph Setiadi</t>
  </si>
  <si>
    <t>y7set.towers@sutphen.com</t>
  </si>
  <si>
    <t>614-554-3716</t>
  </si>
  <si>
    <t>614-876-1262</t>
  </si>
  <si>
    <t>Tameran Graphic Systems, Inc.</t>
  </si>
  <si>
    <t>Mark Wise</t>
  </si>
  <si>
    <t>mawise@tameran.com</t>
  </si>
  <si>
    <t>216-224-6995</t>
  </si>
  <si>
    <t>Tarkett</t>
  </si>
  <si>
    <t>Soroosh Khoshbin</t>
  </si>
  <si>
    <t>soroosh@unitedfeedscrews.com</t>
  </si>
  <si>
    <t>330-607-3877</t>
  </si>
  <si>
    <t>330-733-7325</t>
  </si>
  <si>
    <t>Tederic Smart Injection</t>
  </si>
  <si>
    <t>Shirly Zhao</t>
  </si>
  <si>
    <t>shirly.zhao@tedericglobal.com</t>
  </si>
  <si>
    <t>216-338-6994</t>
  </si>
  <si>
    <t>Tex-Mex Recycling</t>
  </si>
  <si>
    <t>Ted Salinas</t>
  </si>
  <si>
    <t>ted@tex-mexrecycling.com</t>
  </si>
  <si>
    <t>956-605-1446</t>
  </si>
  <si>
    <t>The Cleveland Canvas Goods MFG Co</t>
  </si>
  <si>
    <t>Bill Morton</t>
  </si>
  <si>
    <t>bill_morton@clevelandcanvas.com</t>
  </si>
  <si>
    <t>The Hygenic Corporation</t>
  </si>
  <si>
    <t>kpavlak@hygenic.com</t>
  </si>
  <si>
    <t>330-634-2215</t>
  </si>
  <si>
    <t>The K Company</t>
  </si>
  <si>
    <t>Roger Harbert</t>
  </si>
  <si>
    <t>330-773-5125</t>
  </si>
  <si>
    <t>The Lanly Company</t>
  </si>
  <si>
    <t>John Pische</t>
  </si>
  <si>
    <t>jpische@lanly.com</t>
  </si>
  <si>
    <t>216-731-1115</t>
  </si>
  <si>
    <t>The Schaefer Group</t>
  </si>
  <si>
    <t>Kevin Larison</t>
  </si>
  <si>
    <t>kevin.larison@thechaefergroup.com</t>
  </si>
  <si>
    <t>Thermo-Rite</t>
  </si>
  <si>
    <t>Joe Hagen</t>
  </si>
  <si>
    <t>330-633-8680</t>
  </si>
  <si>
    <t>Thrive Line</t>
  </si>
  <si>
    <t>Larry Leggett</t>
  </si>
  <si>
    <t>larry.thriveline@gmail.com</t>
  </si>
  <si>
    <t>865-414-3469</t>
  </si>
  <si>
    <t>TKM Print Solutions</t>
  </si>
  <si>
    <t>Brandon Reinhardt</t>
  </si>
  <si>
    <t>brandon@discovertkm.com</t>
  </si>
  <si>
    <t>330-641-4100</t>
  </si>
  <si>
    <t>Towanda Metadyne, Inc.</t>
  </si>
  <si>
    <t>Amit Daga</t>
  </si>
  <si>
    <t>akd@towandametadyne.com</t>
  </si>
  <si>
    <t>570-265-6963</t>
  </si>
  <si>
    <t>TPE Solutions</t>
  </si>
  <si>
    <t>Julie Collins</t>
  </si>
  <si>
    <t>julia.collins@tpesinc.com</t>
  </si>
  <si>
    <t>978-758-6193</t>
  </si>
  <si>
    <t>Tri-Valley Logistics</t>
  </si>
  <si>
    <t>Ralph Falconburg</t>
  </si>
  <si>
    <t>falconburg@hotmail.com</t>
  </si>
  <si>
    <t>217-994-0347</t>
  </si>
  <si>
    <t>Tristan Rubber Co.</t>
  </si>
  <si>
    <t>Ron Canterbury</t>
  </si>
  <si>
    <t>roncanterbury@msn.com</t>
  </si>
  <si>
    <t>330-933-3832</t>
  </si>
  <si>
    <t>Ultra-Tech</t>
  </si>
  <si>
    <t>Joe Holland</t>
  </si>
  <si>
    <t>dhoover@utmachinery.com</t>
  </si>
  <si>
    <t>330-858-1883</t>
  </si>
  <si>
    <t>Union Confectionery Machine</t>
  </si>
  <si>
    <t>John Greenberg</t>
  </si>
  <si>
    <t>John@unionmachinery.com</t>
  </si>
  <si>
    <t>347-226-5038</t>
  </si>
  <si>
    <t>United Centerless Gringing</t>
  </si>
  <si>
    <t>Normand Goulet</t>
  </si>
  <si>
    <t>united0@snet.net</t>
  </si>
  <si>
    <t>860-922-3737</t>
  </si>
  <si>
    <t>United Feed Screw</t>
  </si>
  <si>
    <t>Becky Jackson</t>
  </si>
  <si>
    <t>bjackson@unitedfeedscrews.com</t>
  </si>
  <si>
    <t>330-798-5532</t>
  </si>
  <si>
    <t>J Paul Norton</t>
  </si>
  <si>
    <t>jpaulnorton@unitedfeedscrews.com</t>
  </si>
  <si>
    <t>330-618-2316</t>
  </si>
  <si>
    <t>Jeff Fagerline</t>
  </si>
  <si>
    <t>330-607-5535</t>
  </si>
  <si>
    <t>soroosh1@aol.com</t>
  </si>
  <si>
    <t>United Solutions</t>
  </si>
  <si>
    <t>Greg Varney</t>
  </si>
  <si>
    <t>ap@creogroup.com</t>
  </si>
  <si>
    <t>617-947-9420</t>
  </si>
  <si>
    <t>Universal Tire Mold</t>
  </si>
  <si>
    <t>Dan Susman</t>
  </si>
  <si>
    <t>DanSusman@utmolds.com</t>
  </si>
  <si>
    <t>330-253-5101</t>
  </si>
  <si>
    <t>Mert Yazici</t>
  </si>
  <si>
    <t>330-645-6653</t>
  </si>
  <si>
    <t>University of Akron</t>
  </si>
  <si>
    <t>Patrick Hargraves</t>
  </si>
  <si>
    <t>phargraves@uakron.edu</t>
  </si>
  <si>
    <t>330-414-6687</t>
  </si>
  <si>
    <t>USA Rolls</t>
  </si>
  <si>
    <t>Anthony Clowser</t>
  </si>
  <si>
    <t>tclowser@usarolls.com</t>
  </si>
  <si>
    <t>330-533-3222</t>
  </si>
  <si>
    <t>Kevin Sheldon</t>
  </si>
  <si>
    <t>ksheldon@usarolls.com</t>
  </si>
  <si>
    <t>Vacuum Electric Switch Co</t>
  </si>
  <si>
    <t>Cecil Wristen</t>
  </si>
  <si>
    <t>cwristen@vacuumelectricswitch.com</t>
  </si>
  <si>
    <t>330-374-5156</t>
  </si>
  <si>
    <t>Vacuum Process Engineering, Inc.</t>
  </si>
  <si>
    <t>Eric Sharp</t>
  </si>
  <si>
    <t>Henry Xiong</t>
  </si>
  <si>
    <t>hxiong@vpei.com</t>
  </si>
  <si>
    <t>916-606-1378</t>
  </si>
  <si>
    <t>Vadxx Energy LLC</t>
  </si>
  <si>
    <t>Aaron Swope</t>
  </si>
  <si>
    <t>aswope@vadxx.com</t>
  </si>
  <si>
    <t>419-618-0314</t>
  </si>
  <si>
    <t>Lou Suriano</t>
  </si>
  <si>
    <t>lsuriano@vadxx.com</t>
  </si>
  <si>
    <t>216-905-0558</t>
  </si>
  <si>
    <t>Scott Sass</t>
  </si>
  <si>
    <t>ssass@vadxx.com</t>
  </si>
  <si>
    <t>614-325-9627</t>
  </si>
  <si>
    <t>330-752-1111- ext 405</t>
  </si>
  <si>
    <t>Shawn Patterson</t>
  </si>
  <si>
    <t>spatterson@vadxx.com</t>
  </si>
  <si>
    <t>330-819-4527</t>
  </si>
  <si>
    <t>330-752-1111 ext 413</t>
  </si>
  <si>
    <t>Tony Colello</t>
  </si>
  <si>
    <t>tcolello@vadxx.com</t>
  </si>
  <si>
    <t>440-653-0599</t>
  </si>
  <si>
    <t>330-752-1111 x401</t>
  </si>
  <si>
    <t>Valley Rubber Mixing</t>
  </si>
  <si>
    <t>Steve Tumbleson</t>
  </si>
  <si>
    <t>steven.tumbleson@grtrubber.com</t>
  </si>
  <si>
    <t>256-784-6705</t>
  </si>
  <si>
    <t>Thomas Brennan</t>
  </si>
  <si>
    <t>tom@valleyrubber.com</t>
  </si>
  <si>
    <t>330-338-3377</t>
  </si>
  <si>
    <t>330-434-4442</t>
  </si>
  <si>
    <t>Valu-Trol</t>
  </si>
  <si>
    <t>Bob Bedilion</t>
  </si>
  <si>
    <t>bbedilion@valu-trol.com</t>
  </si>
  <si>
    <t>330-686-2800</t>
  </si>
  <si>
    <t>Valv-Trol</t>
  </si>
  <si>
    <t>Bill Bedilion</t>
  </si>
  <si>
    <t>bbedilion@valv-trol.com</t>
  </si>
  <si>
    <t>Ventana USA</t>
  </si>
  <si>
    <t>Mike Pauly</t>
  </si>
  <si>
    <t>mpauly@ventanapa.com</t>
  </si>
  <si>
    <t>412-477-3138</t>
  </si>
  <si>
    <t>Vexor/Circon Technology</t>
  </si>
  <si>
    <t>John Conti</t>
  </si>
  <si>
    <t>jconti@circoenviro.com</t>
  </si>
  <si>
    <t>330-416-0907</t>
  </si>
  <si>
    <t>Victory Machine</t>
  </si>
  <si>
    <t>Brandon Callahan</t>
  </si>
  <si>
    <t>brandon@victorymachine.com</t>
  </si>
  <si>
    <t>8474-722-8686</t>
  </si>
  <si>
    <t>Victory Machinery Exchange</t>
  </si>
  <si>
    <t>Neal Hoffenberg</t>
  </si>
  <si>
    <t>847-918-9797</t>
  </si>
  <si>
    <t>VMI Americas</t>
  </si>
  <si>
    <t>Arie Kroeze</t>
  </si>
  <si>
    <t>akroeze@vmi-usa.com</t>
  </si>
  <si>
    <t>330-329-4689</t>
  </si>
  <si>
    <t>330-929-6800</t>
  </si>
  <si>
    <t>Dustin DeMattio</t>
  </si>
  <si>
    <t>ddemattio@vmi-group.com</t>
  </si>
  <si>
    <t>330-858-9140</t>
  </si>
  <si>
    <t>330-858-6800</t>
  </si>
  <si>
    <t>Eric Christian</t>
  </si>
  <si>
    <t>echristian@vmi-group.com</t>
  </si>
  <si>
    <t>330-696-3609</t>
  </si>
  <si>
    <t>Mike Slone</t>
  </si>
  <si>
    <t>mslone@vmi-group.com</t>
  </si>
  <si>
    <t>330-329-4728</t>
  </si>
  <si>
    <t>Roy Boome</t>
  </si>
  <si>
    <t>rboome@vmi-group.com</t>
  </si>
  <si>
    <t>330-391-2450</t>
  </si>
  <si>
    <t>Wayfare Foods</t>
  </si>
  <si>
    <t>Kevin Williams</t>
  </si>
  <si>
    <t>406-580-6540</t>
  </si>
  <si>
    <t>Welded Tubes, Inc</t>
  </si>
  <si>
    <t>Rick Pierce</t>
  </si>
  <si>
    <t>rpierce@weldedtubes.com</t>
  </si>
  <si>
    <t>440-437-5144</t>
  </si>
  <si>
    <t>Welton Shipping CO. LLC</t>
  </si>
  <si>
    <t>Andrew Gu</t>
  </si>
  <si>
    <t>andrew.gu@meltongroup.com</t>
  </si>
  <si>
    <t>718-723-8000</t>
  </si>
  <si>
    <t>Whitacre Greer</t>
  </si>
  <si>
    <t>330-823-1610</t>
  </si>
  <si>
    <t>Matthew Binius</t>
  </si>
  <si>
    <t>mbinius@wgpaver.com</t>
  </si>
  <si>
    <t>Scott McGlothlin</t>
  </si>
  <si>
    <t>Wigglesworth Machinery Company</t>
  </si>
  <si>
    <t>Thomas Wigglesworth</t>
  </si>
  <si>
    <t>tom@wigglesworth.com</t>
  </si>
  <si>
    <t>440-232-6660</t>
  </si>
  <si>
    <t>William B. Meyer, Inc.</t>
  </si>
  <si>
    <t>Ed Hryniewicz</t>
  </si>
  <si>
    <t>ehryniewicz@williambmeyer.com</t>
  </si>
  <si>
    <t>860-883-0267</t>
  </si>
  <si>
    <t>800-727-5985</t>
  </si>
  <si>
    <t>Winkle Industries</t>
  </si>
  <si>
    <t>Steve Young</t>
  </si>
  <si>
    <t>syoung@winkleindustries.com</t>
  </si>
  <si>
    <t>330-823-9730</t>
  </si>
  <si>
    <t>Wisconsin Oven Corporation</t>
  </si>
  <si>
    <t>Nick Gardner</t>
  </si>
  <si>
    <t>262-642-6031</t>
  </si>
  <si>
    <t>Workman Industrial service, Inc.</t>
  </si>
  <si>
    <t>Sarah Brewbaker</t>
  </si>
  <si>
    <t>sbrewbaker@workmanindustrial.com</t>
  </si>
  <si>
    <t>330-678-7002</t>
  </si>
  <si>
    <t>Sarah Gartland</t>
  </si>
  <si>
    <t>sgartland@workmanindustrial.com/</t>
  </si>
  <si>
    <t>Workshop Wire Cut &amp; Machine, Inc.</t>
  </si>
  <si>
    <t>Mike Meredith</t>
  </si>
  <si>
    <t>330-995-6404</t>
  </si>
  <si>
    <t>World Equipment &amp; Machine Sales Co.</t>
  </si>
  <si>
    <t>Chad Spiegle</t>
  </si>
  <si>
    <t>chad@foundry-eqpt.com</t>
  </si>
  <si>
    <t>330-510-4568</t>
  </si>
  <si>
    <t>440-519-1745</t>
  </si>
  <si>
    <t>Yoder Brothers Machinery</t>
  </si>
  <si>
    <t>Lisa Hardin</t>
  </si>
  <si>
    <t>lisa@yoderbrothersmachinery.com</t>
  </si>
  <si>
    <t>419-269-2000</t>
  </si>
  <si>
    <t>ZF North America</t>
  </si>
  <si>
    <t>Bryan Palmer</t>
  </si>
  <si>
    <t>bryan.palmer@zf.com</t>
  </si>
  <si>
    <t>248-222-0301</t>
  </si>
  <si>
    <t>ACCELL</t>
  </si>
  <si>
    <t>James Terranova</t>
  </si>
  <si>
    <t>ARE Accessories</t>
  </si>
  <si>
    <t>Bridgestone - Akron</t>
  </si>
  <si>
    <t>Dennis Burns</t>
  </si>
  <si>
    <t>burnsdennis@bfusa.com</t>
  </si>
  <si>
    <t>330-379-4350</t>
  </si>
  <si>
    <t>Fred Albaugh</t>
  </si>
  <si>
    <t>albaughfred@bfusa.com</t>
  </si>
  <si>
    <t>330-205-3048</t>
  </si>
  <si>
    <t>330-379-6372</t>
  </si>
  <si>
    <t>Greg Sowa</t>
  </si>
  <si>
    <t>Sowagregory@bfusa.com</t>
  </si>
  <si>
    <t>440-522-0872</t>
  </si>
  <si>
    <t>330-379-4187</t>
  </si>
  <si>
    <t>James DeLuca</t>
  </si>
  <si>
    <t>delucajames@bfusa.com</t>
  </si>
  <si>
    <t>330-379-4695</t>
  </si>
  <si>
    <t>Rick Macioce</t>
  </si>
  <si>
    <t>maciocerick@bfusa.com</t>
  </si>
  <si>
    <t>Robert Randles</t>
  </si>
  <si>
    <t>randlesrobert@bfusa.com</t>
  </si>
  <si>
    <t>330-703-0347</t>
  </si>
  <si>
    <t>330-379-4139</t>
  </si>
  <si>
    <t>Tom Orwig</t>
  </si>
  <si>
    <t>orwigtom@bfusa.com</t>
  </si>
  <si>
    <t>Bridgestone Chemical/polymer</t>
  </si>
  <si>
    <t>Brad Miller</t>
  </si>
  <si>
    <t>330-379-7284</t>
  </si>
  <si>
    <t>Cage Gear</t>
  </si>
  <si>
    <t>Greg Churbock</t>
  </si>
  <si>
    <t>greg@cagegear.com</t>
  </si>
  <si>
    <t>248-329-9573</t>
  </si>
  <si>
    <t>Cargill Salt</t>
  </si>
  <si>
    <t>John King</t>
  </si>
  <si>
    <t>john_king@cargill.com</t>
  </si>
  <si>
    <t>330-848-6901</t>
  </si>
  <si>
    <t>Cavanaugh</t>
  </si>
  <si>
    <t>Josh Tompkins</t>
  </si>
  <si>
    <t>jtomkins@cavanaughbuilding.com</t>
  </si>
  <si>
    <t>330-730-7618</t>
  </si>
  <si>
    <t>Clampco</t>
  </si>
  <si>
    <t>Gary Cottrill</t>
  </si>
  <si>
    <t>gcottrill@clampco.com</t>
  </si>
  <si>
    <t>330-336-8857</t>
  </si>
  <si>
    <t>DanaMiller</t>
  </si>
  <si>
    <t>Bill Dannemiller</t>
  </si>
  <si>
    <t>wddannemiller@gmail.com</t>
  </si>
  <si>
    <t>Dinesol</t>
  </si>
  <si>
    <t>Bud Greathouse</t>
  </si>
  <si>
    <t>budg@dinesol.com</t>
  </si>
  <si>
    <t>330-360-8712</t>
  </si>
  <si>
    <t>330-544-7171 x2270</t>
  </si>
  <si>
    <t>DriV Inc</t>
  </si>
  <si>
    <t>Brad Morgan</t>
  </si>
  <si>
    <t>Elgin Fastener Company</t>
  </si>
  <si>
    <t>Brian Dunbar</t>
  </si>
  <si>
    <t>bdunbar@elginfasteners.com</t>
  </si>
  <si>
    <t>501-554-0016</t>
  </si>
  <si>
    <t>Curtis Horvath</t>
  </si>
  <si>
    <t>chorvath@elginfasteners.com</t>
  </si>
  <si>
    <t>440-550-4209</t>
  </si>
  <si>
    <t>Frank Pushpak</t>
  </si>
  <si>
    <t>fpushpak@elginfasteners.com</t>
  </si>
  <si>
    <t>216-970-9410</t>
  </si>
  <si>
    <t>Joe Ford</t>
  </si>
  <si>
    <t>jford@elginfastners.com</t>
  </si>
  <si>
    <t>440-550-4177</t>
  </si>
  <si>
    <t>Lee Picciano</t>
  </si>
  <si>
    <t>lpicciano@elginfasteners.com</t>
  </si>
  <si>
    <t>Randy Finney</t>
  </si>
  <si>
    <t>rfinney@elginfasteners.com</t>
  </si>
  <si>
    <t>731-681-1619</t>
  </si>
  <si>
    <t>FastSigns</t>
  </si>
  <si>
    <t>Keith Mauger</t>
  </si>
  <si>
    <t>keith.mauger@fastsigns.com</t>
  </si>
  <si>
    <t>614-429-7862</t>
  </si>
  <si>
    <t>614-228-2013</t>
  </si>
  <si>
    <t>Fazio Mechanical Services, Inc.</t>
  </si>
  <si>
    <t>bdannemiller@faziomech.com</t>
  </si>
  <si>
    <t>330-807-3117</t>
  </si>
  <si>
    <t>Goodyear (All)</t>
  </si>
  <si>
    <t>Jason Spicer</t>
  </si>
  <si>
    <t>jason_spicer@goodyear.com</t>
  </si>
  <si>
    <t>580-531-5901</t>
  </si>
  <si>
    <t>Goodyear (Corporate)</t>
  </si>
  <si>
    <t>Michael Ruegg</t>
  </si>
  <si>
    <t>mike_ruegg@goodyear.com</t>
  </si>
  <si>
    <t>330-796-2121</t>
  </si>
  <si>
    <t>Goodyear ( Corporate)</t>
  </si>
  <si>
    <t>Alexzandra Haer</t>
  </si>
  <si>
    <t>alexzandra_haer@goodyear.com</t>
  </si>
  <si>
    <t>330-796-1083</t>
  </si>
  <si>
    <t>Allan Jones</t>
  </si>
  <si>
    <t>allan_jones@goodyear.com</t>
  </si>
  <si>
    <t>330-796-0721</t>
  </si>
  <si>
    <t>asa berlin</t>
  </si>
  <si>
    <t>asa_berlin@goodyear.com</t>
  </si>
  <si>
    <t>Bill Rex</t>
  </si>
  <si>
    <t>warex@goodyear.com</t>
  </si>
  <si>
    <t>Bob Deilly</t>
  </si>
  <si>
    <t>redaly@goodyear.com</t>
  </si>
  <si>
    <t>Brad Crombie</t>
  </si>
  <si>
    <t>775-500-1756</t>
  </si>
  <si>
    <t>Brian Koch</t>
  </si>
  <si>
    <t>brian_koch@goodyear.com</t>
  </si>
  <si>
    <t>330-671-6217</t>
  </si>
  <si>
    <t>330-796-9365</t>
  </si>
  <si>
    <t>Brooke Ross</t>
  </si>
  <si>
    <t>Brooke_ross@goodyear.com</t>
  </si>
  <si>
    <t>Chris Rebellino</t>
  </si>
  <si>
    <t>christopher_rebellino@goodyear.com</t>
  </si>
  <si>
    <t>330-796-0609</t>
  </si>
  <si>
    <t>Christopher Dyrlund</t>
  </si>
  <si>
    <t>christopher_dyrlund@goodyear.com</t>
  </si>
  <si>
    <t>330-571-3220</t>
  </si>
  <si>
    <t>Dale Schoenlein</t>
  </si>
  <si>
    <t>dale_schoenlein@goodyear.com</t>
  </si>
  <si>
    <t>330-796-7339</t>
  </si>
  <si>
    <t>GT Gadsen</t>
  </si>
  <si>
    <t>Ike Okoye</t>
  </si>
  <si>
    <t>ike_okoye@goodyear.com</t>
  </si>
  <si>
    <t>Jacqueline Smythe</t>
  </si>
  <si>
    <t>Jeff Kavali</t>
  </si>
  <si>
    <t>jeff_kavali@goodyear.com</t>
  </si>
  <si>
    <t>330-796-3114</t>
  </si>
  <si>
    <t>John Maloney</t>
  </si>
  <si>
    <t>john.maloney@goodyear.com</t>
  </si>
  <si>
    <t>330-608-6620</t>
  </si>
  <si>
    <t>330-796-5146</t>
  </si>
  <si>
    <t>John Roysdon</t>
  </si>
  <si>
    <t>John.roysdon@goodyear.com</t>
  </si>
  <si>
    <t>330-319-5963</t>
  </si>
  <si>
    <t>john.roysdon@goodyear.com</t>
  </si>
  <si>
    <t>330-796-1459</t>
  </si>
  <si>
    <t>Josh Phillipson</t>
  </si>
  <si>
    <t>Joshua_phillipson@goodyear.com</t>
  </si>
  <si>
    <t>Kathi Piergies</t>
  </si>
  <si>
    <t>kathi_pierges@goodyear.com</t>
  </si>
  <si>
    <t>330-796-2205</t>
  </si>
  <si>
    <t>Katie Post</t>
  </si>
  <si>
    <t>katie_post@goodyear.com</t>
  </si>
  <si>
    <t>440-364-4110</t>
  </si>
  <si>
    <t>330-796-0142</t>
  </si>
  <si>
    <t>Michael Smith</t>
  </si>
  <si>
    <t>michael_smith@goodyear.com</t>
  </si>
  <si>
    <t>Mike Boles</t>
  </si>
  <si>
    <t>mike_boles@goodyear.com</t>
  </si>
  <si>
    <t>330-796-0948</t>
  </si>
  <si>
    <t>Mike McBride</t>
  </si>
  <si>
    <t>mike_mcbride@goodyear.com</t>
  </si>
  <si>
    <t>330-796-0433</t>
  </si>
  <si>
    <t>Scott Robinson</t>
  </si>
  <si>
    <t>scott_robinson@goodyear.com</t>
  </si>
  <si>
    <t>330-310-2235</t>
  </si>
  <si>
    <t>Steve Cuddihy</t>
  </si>
  <si>
    <t>stephen.cuddihy@goodyear.com</t>
  </si>
  <si>
    <t>910-824-2027</t>
  </si>
  <si>
    <t>330-796-7461</t>
  </si>
  <si>
    <t>Steven Hart</t>
  </si>
  <si>
    <t>steven_hart@goodyear.com</t>
  </si>
  <si>
    <t>Tom Rotunda</t>
  </si>
  <si>
    <t>tom_rotunda@goodyear.com</t>
  </si>
  <si>
    <t>Goodyear( Corporate)</t>
  </si>
  <si>
    <t>Pat Hurley</t>
  </si>
  <si>
    <t>pat_hurley@goodyear.com</t>
  </si>
  <si>
    <t>330-289-4339</t>
  </si>
  <si>
    <t>Goodyear ( Fayetteville NC)</t>
  </si>
  <si>
    <t>Bill Snider</t>
  </si>
  <si>
    <t>bill_snider@goodyear.com</t>
  </si>
  <si>
    <t>910-987-9887</t>
  </si>
  <si>
    <t>910-884-1129</t>
  </si>
  <si>
    <t>Darryl Pellegrino</t>
  </si>
  <si>
    <t>darryl_pellegrino@goodyear.com</t>
  </si>
  <si>
    <t>910-988-1838</t>
  </si>
  <si>
    <t>910-488-9295</t>
  </si>
  <si>
    <t>Dave Jaques</t>
  </si>
  <si>
    <t>david_jaques@goodyear.com</t>
  </si>
  <si>
    <t>910-580-1471</t>
  </si>
  <si>
    <t>910-884-1143</t>
  </si>
  <si>
    <t>Jonathan Johnson</t>
  </si>
  <si>
    <t>910-916-7722</t>
  </si>
  <si>
    <t>910-884-1117</t>
  </si>
  <si>
    <t>Luther Suber</t>
  </si>
  <si>
    <t>luther_suber@goodyear.com</t>
  </si>
  <si>
    <t>910-630-5275</t>
  </si>
  <si>
    <t>Rick Celeste</t>
  </si>
  <si>
    <t>richard_celeste@goodyear.com</t>
  </si>
  <si>
    <t>910-630-5239</t>
  </si>
  <si>
    <t>Travis Barefoot</t>
  </si>
  <si>
    <t>travis.barefoot@goodyear.com</t>
  </si>
  <si>
    <t>910-916-6075</t>
  </si>
  <si>
    <t>910-630-5230</t>
  </si>
  <si>
    <t>Goodyear Hebron</t>
  </si>
  <si>
    <t>Bina Patel Botts</t>
  </si>
  <si>
    <t>330-208-7822</t>
  </si>
  <si>
    <t>Sameul Addams</t>
  </si>
  <si>
    <t>samuel_adams@goodyear.com</t>
  </si>
  <si>
    <t>419-957-7754</t>
  </si>
  <si>
    <t>Goodyear (Lawton OK)</t>
  </si>
  <si>
    <t>Bryan Brinkman</t>
  </si>
  <si>
    <t>bryan_brinkman@goodyear.com</t>
  </si>
  <si>
    <t>580-678-0433</t>
  </si>
  <si>
    <t>580-531-5908</t>
  </si>
  <si>
    <t>Fernando Valencia</t>
  </si>
  <si>
    <t>580-510-6216</t>
  </si>
  <si>
    <t>Goodyear Procurement</t>
  </si>
  <si>
    <t>Addam_tate@goodyear.com</t>
  </si>
  <si>
    <t>Goodyear ( Social Circle)</t>
  </si>
  <si>
    <t>Steven Steven</t>
  </si>
  <si>
    <t>steven_newell@goodyear.com</t>
  </si>
  <si>
    <t>334-718-1536</t>
  </si>
  <si>
    <t>770-464-4756</t>
  </si>
  <si>
    <t>Kobelco Stewart Bolling, Inc.</t>
  </si>
  <si>
    <t>Alice Pirog</t>
  </si>
  <si>
    <t>a.pirog@ksbi.com</t>
  </si>
  <si>
    <t>330-655-3111 x188</t>
  </si>
  <si>
    <t>330-705-6648</t>
  </si>
  <si>
    <t>330-655-3170</t>
  </si>
  <si>
    <t>Danny Watkins</t>
  </si>
  <si>
    <t>d.watkins@ksbi.com</t>
  </si>
  <si>
    <t>330-655-3146</t>
  </si>
  <si>
    <t>gina stephens</t>
  </si>
  <si>
    <t>g.stephens@ksbi.com</t>
  </si>
  <si>
    <t>330-655-3105</t>
  </si>
  <si>
    <t>James Ray</t>
  </si>
  <si>
    <t>j.ra@ksbi.com</t>
  </si>
  <si>
    <t>330-655-3178</t>
  </si>
  <si>
    <t>John Cox</t>
  </si>
  <si>
    <t>j.cox@ksbi.com</t>
  </si>
  <si>
    <t>330-655-3111 x186</t>
  </si>
  <si>
    <t>Michael Earl</t>
  </si>
  <si>
    <t>m.earl@ksbi.com</t>
  </si>
  <si>
    <t>330-655-3111 x173</t>
  </si>
  <si>
    <t>Rita Baker-Ward</t>
  </si>
  <si>
    <t>r.ward@ksbi.com</t>
  </si>
  <si>
    <t>330-655-3143</t>
  </si>
  <si>
    <t>Robert Deily</t>
  </si>
  <si>
    <t>r.deily@ksbi.com</t>
  </si>
  <si>
    <t>330-655-3103</t>
  </si>
  <si>
    <t>Scott Morgan</t>
  </si>
  <si>
    <t>Tom Fennell</t>
  </si>
  <si>
    <t>KraussMaffei Berstorff</t>
  </si>
  <si>
    <t>Gunther Heckel</t>
  </si>
  <si>
    <t>guentherheckel@kraussmaffei.com</t>
  </si>
  <si>
    <t>49-173-244-5842</t>
  </si>
  <si>
    <t>49-511-5702-513</t>
  </si>
  <si>
    <t>Magna Seating</t>
  </si>
  <si>
    <t>Dewayne Simmons</t>
  </si>
  <si>
    <t>Dewayne.simmons@magna.com</t>
  </si>
  <si>
    <t>931-548-3079</t>
  </si>
  <si>
    <t>Guenther Braeuner</t>
  </si>
  <si>
    <t>guenther.braeuner@magna.com</t>
  </si>
  <si>
    <t>248-567-4643</t>
  </si>
  <si>
    <t>Maxion</t>
  </si>
  <si>
    <t>Anthony Hoy</t>
  </si>
  <si>
    <t>anthony.hoy@maxionwheels.com</t>
  </si>
  <si>
    <t>330-794-2388</t>
  </si>
  <si>
    <t>Craig Boyer</t>
  </si>
  <si>
    <t>craig.boyer@maxionwheels.com</t>
  </si>
  <si>
    <t>330-256-2588</t>
  </si>
  <si>
    <t>Ken Pavluk</t>
  </si>
  <si>
    <t>ken.pavluk@maxionwheels.com</t>
  </si>
  <si>
    <t>330-610-3902</t>
  </si>
  <si>
    <t>Mark Reischman</t>
  </si>
  <si>
    <t>mark.reischman@maxionwheels.com</t>
  </si>
  <si>
    <t>234-525-8898</t>
  </si>
  <si>
    <t>Martha Cristina Sus</t>
  </si>
  <si>
    <t>martha.sus@maxionwheels.com</t>
  </si>
  <si>
    <t>330-217-6419</t>
  </si>
  <si>
    <t>330-794-2309</t>
  </si>
  <si>
    <t>Mike Michalec</t>
  </si>
  <si>
    <t>mike.michalec@maxionwheels.com</t>
  </si>
  <si>
    <t>330-807-2383</t>
  </si>
  <si>
    <t>330-794-2300</t>
  </si>
  <si>
    <t>Nick Romanoff</t>
  </si>
  <si>
    <t>Paulo Paraizo</t>
  </si>
  <si>
    <t>paulo.paraizo@maxionwheels.com</t>
  </si>
  <si>
    <t>330-285-7713</t>
  </si>
  <si>
    <t>Mesnac- TMSI</t>
  </si>
  <si>
    <t>Lawrence Bouscher PE</t>
  </si>
  <si>
    <t>lbouscher@mesnac.us</t>
  </si>
  <si>
    <t>330-289-1420</t>
  </si>
  <si>
    <t>Mike Evans</t>
  </si>
  <si>
    <t>Mevans@mesnac.us</t>
  </si>
  <si>
    <t>865-246-9863</t>
  </si>
  <si>
    <t>865-856-2317 x111</t>
  </si>
  <si>
    <t>Momentous Mold (Reuther Mold &amp; MFG.)</t>
  </si>
  <si>
    <t>Kregg Himes</t>
  </si>
  <si>
    <t>kreggh@reuthermold.com</t>
  </si>
  <si>
    <t>kreggh@momentousmold.com</t>
  </si>
  <si>
    <t>330-923-5266</t>
  </si>
  <si>
    <t>OEM Tube</t>
  </si>
  <si>
    <t>Michael Paisley</t>
  </si>
  <si>
    <t>michaelpaisley52@gmail.com</t>
  </si>
  <si>
    <t>PTC Alliance</t>
  </si>
  <si>
    <t>Bob Hatherill</t>
  </si>
  <si>
    <t>bob.hatherill@ptalliance.com</t>
  </si>
  <si>
    <t>Joseph Gordon</t>
  </si>
  <si>
    <t>joseph.gordon@ptcalliance.com</t>
  </si>
  <si>
    <t>Mark Presley</t>
  </si>
  <si>
    <t>mark.presley@ptcalliance.com</t>
  </si>
  <si>
    <t>R.T. Hampton Plumbing</t>
  </si>
  <si>
    <t>Darren Elliott</t>
  </si>
  <si>
    <t>darren@rthampton.com</t>
  </si>
  <si>
    <t>330-705-5910</t>
  </si>
  <si>
    <t>330-809-6200</t>
  </si>
  <si>
    <t>Ravago Americas</t>
  </si>
  <si>
    <t>George Hill</t>
  </si>
  <si>
    <t>GHill@ravagoamericas.com</t>
  </si>
  <si>
    <t>Josh Kammer</t>
  </si>
  <si>
    <t>JKammer@RavagoAmericas.com</t>
  </si>
  <si>
    <t>Mike Gasper</t>
  </si>
  <si>
    <t>MGasper@RavagoAmericas.com</t>
  </si>
  <si>
    <t>330-351-4642</t>
  </si>
  <si>
    <t>330-825-6080</t>
  </si>
  <si>
    <t>Zac Rowley</t>
  </si>
  <si>
    <t>zrowley@ravagoamericas.com</t>
  </si>
  <si>
    <t>330-201-2119</t>
  </si>
  <si>
    <t>RealTruck</t>
  </si>
  <si>
    <t>Mike Dudich</t>
  </si>
  <si>
    <t>michael.dudich@realtruck.com</t>
  </si>
  <si>
    <t>216-789-5503</t>
  </si>
  <si>
    <t>Reserve Management Group</t>
  </si>
  <si>
    <t>George Heinemann</t>
  </si>
  <si>
    <t>georgeheinemann@reserve-alloys.com</t>
  </si>
  <si>
    <t>440-799-1021</t>
  </si>
  <si>
    <t>Hal Tolin</t>
  </si>
  <si>
    <t>haltolin@reserve-group.com</t>
  </si>
  <si>
    <t>773-491-3153</t>
  </si>
  <si>
    <t>773-382-0123</t>
  </si>
  <si>
    <t>Jeff Corso</t>
  </si>
  <si>
    <t>jeffcorso@reserve-group.com</t>
  </si>
  <si>
    <t>312-451-2870</t>
  </si>
  <si>
    <t>Steven Joseph</t>
  </si>
  <si>
    <t>stevejoseph@reserve-group.com</t>
  </si>
  <si>
    <t>440-821-8006</t>
  </si>
  <si>
    <t>440-287-7222</t>
  </si>
  <si>
    <t>Roechling</t>
  </si>
  <si>
    <t>Jonathan Milton</t>
  </si>
  <si>
    <t>jmilton@roechling.com</t>
  </si>
  <si>
    <t>814-520-1549</t>
  </si>
  <si>
    <t>Kevin Krzyzanowski</t>
  </si>
  <si>
    <t>KKrzyzanowski@roechling.com</t>
  </si>
  <si>
    <t>330-208-8008</t>
  </si>
  <si>
    <t>330-400-5807</t>
  </si>
  <si>
    <t>Richard Lekan</t>
  </si>
  <si>
    <t>RLekan@roechling.com</t>
  </si>
  <si>
    <t>216-956-6512</t>
  </si>
  <si>
    <t>Rotek Inc.</t>
  </si>
  <si>
    <t>Bob Gray</t>
  </si>
  <si>
    <t>bgray@rotek-inc.com</t>
  </si>
  <si>
    <t>330-562-0824</t>
  </si>
  <si>
    <t>Bob Lemmon</t>
  </si>
  <si>
    <t>blemmon@rotek-inc.com</t>
  </si>
  <si>
    <t>234-755-1049</t>
  </si>
  <si>
    <t>330-995-7241</t>
  </si>
  <si>
    <t>Damien Price</t>
  </si>
  <si>
    <t>dprice@rotek-inc.com</t>
  </si>
  <si>
    <t>330-274-7079</t>
  </si>
  <si>
    <t>330-562-4000</t>
  </si>
  <si>
    <t>Diane Sabo</t>
  </si>
  <si>
    <t>dsabo@rotek-inc.com</t>
  </si>
  <si>
    <t>330-995-7276</t>
  </si>
  <si>
    <t>Douglas Dawn</t>
  </si>
  <si>
    <t>ddawn@rotek-inc.com</t>
  </si>
  <si>
    <t>859-630-4750</t>
  </si>
  <si>
    <t>859-342-8430</t>
  </si>
  <si>
    <t>Jack Su</t>
  </si>
  <si>
    <t>jsu@rotek-inc.com</t>
  </si>
  <si>
    <t>330-995-7220</t>
  </si>
  <si>
    <t>Jessie Ruby</t>
  </si>
  <si>
    <t>jruby@rotek-inc.com</t>
  </si>
  <si>
    <t>330-274-7561</t>
  </si>
  <si>
    <t>Mike Jakubowski</t>
  </si>
  <si>
    <t>mjakubowski@rotek-inc.com</t>
  </si>
  <si>
    <t>234-755-1434</t>
  </si>
  <si>
    <t>330-995-7236</t>
  </si>
  <si>
    <t>Paula Leonardi</t>
  </si>
  <si>
    <t>pleonardi@rotek-inc.com</t>
  </si>
  <si>
    <t>330-995-7282</t>
  </si>
  <si>
    <t>Rubbermaid</t>
  </si>
  <si>
    <t>David Jones</t>
  </si>
  <si>
    <t>david.jones4@newellco.com</t>
  </si>
  <si>
    <t>330-541-7766</t>
  </si>
  <si>
    <t>John Rawdon</t>
  </si>
  <si>
    <t>john.rawdon@newellco.com</t>
  </si>
  <si>
    <t>330-612-0140</t>
  </si>
  <si>
    <t>Ken Wedel</t>
  </si>
  <si>
    <t>330-733-7771</t>
  </si>
  <si>
    <t>Tom Mann</t>
  </si>
  <si>
    <t>Shinagawa Advanced Materials</t>
  </si>
  <si>
    <t>Jay Theiss</t>
  </si>
  <si>
    <t>jay.theiss@shinagawa-usa.com</t>
  </si>
  <si>
    <t>330-571-5975</t>
  </si>
  <si>
    <t>330-628-1118 ext. 221</t>
  </si>
  <si>
    <t>Tim Coffman</t>
  </si>
  <si>
    <t>tim.coffman@shinagawa-usa.com</t>
  </si>
  <si>
    <t>330-628-1118 Ext. 231</t>
  </si>
  <si>
    <t>Silgan Dispensing</t>
  </si>
  <si>
    <t>Robert Geib</t>
  </si>
  <si>
    <t>rgeib@cobraplastics.com</t>
  </si>
  <si>
    <t>330-541-6462</t>
  </si>
  <si>
    <t>Smithers Massillon Facility</t>
  </si>
  <si>
    <t>Chuck Phillips</t>
  </si>
  <si>
    <t>Smithers Rapra</t>
  </si>
  <si>
    <t>Doug terrill</t>
  </si>
  <si>
    <t>dterrill@smithers.com</t>
  </si>
  <si>
    <t>330-671-9694</t>
  </si>
  <si>
    <t>330-762-7441</t>
  </si>
  <si>
    <t>Jeff Andrasik</t>
  </si>
  <si>
    <t>330-515-6715</t>
  </si>
  <si>
    <t>jandrasik@smithers.com</t>
  </si>
  <si>
    <t>Jim Dowey</t>
  </si>
  <si>
    <t>jdowey@smithers.com</t>
  </si>
  <si>
    <t>Matt Kent</t>
  </si>
  <si>
    <t>mkent@smithers.com</t>
  </si>
  <si>
    <t>330-603-9273</t>
  </si>
  <si>
    <t>Matt Weiss</t>
  </si>
  <si>
    <t>mweiss@smithers.com</t>
  </si>
  <si>
    <t>330-762-7441 x1309</t>
  </si>
  <si>
    <t>Michael Nehls</t>
  </si>
  <si>
    <t>mnehls@smithers.com</t>
  </si>
  <si>
    <t>330-604-6822</t>
  </si>
  <si>
    <t>Randy Rice</t>
  </si>
  <si>
    <t>rrice@smithers.com</t>
  </si>
  <si>
    <t>Tom Larkin</t>
  </si>
  <si>
    <t>TLarkin@smithers.com</t>
  </si>
  <si>
    <t>Sonoco</t>
  </si>
  <si>
    <t>Kayla Damasco</t>
  </si>
  <si>
    <t>kayla.damasco@sonoco.com</t>
  </si>
  <si>
    <t>330-224-0158</t>
  </si>
  <si>
    <t>234-360-2071</t>
  </si>
  <si>
    <t>Spectra Lab</t>
  </si>
  <si>
    <t>Kenny Zhou</t>
  </si>
  <si>
    <t>buy@spectralabsci.com</t>
  </si>
  <si>
    <t>905-946-8066</t>
  </si>
  <si>
    <t>Sterling/ STI-Specialized Transport</t>
  </si>
  <si>
    <t>Elsy Orellana</t>
  </si>
  <si>
    <t>eorellana@sterlingmail.com</t>
  </si>
  <si>
    <t>617-970-0545</t>
  </si>
  <si>
    <t>978-322-2704</t>
  </si>
  <si>
    <t>Kristen Fawcett</t>
  </si>
  <si>
    <t>kfawcett@sterlingmail.com</t>
  </si>
  <si>
    <t>978-934-8600</t>
  </si>
  <si>
    <t>Trevor Palmieri</t>
  </si>
  <si>
    <t>tpalmieri@sterlingmail.com</t>
  </si>
  <si>
    <t>978-322-2511</t>
  </si>
  <si>
    <t>Summit Plastic Company</t>
  </si>
  <si>
    <t>David Holroyd</t>
  </si>
  <si>
    <t>dholroyd@summitplastics.com</t>
  </si>
  <si>
    <t>330-633-3668</t>
  </si>
  <si>
    <t>Ed Eitner</t>
  </si>
  <si>
    <t>eeitner@summitplastic.com</t>
  </si>
  <si>
    <t>330-805-2637</t>
  </si>
  <si>
    <t>800-814-3496</t>
  </si>
  <si>
    <t>Gary Seyberth</t>
  </si>
  <si>
    <t>gseyberth@summitplastic.com</t>
  </si>
  <si>
    <t>Jim Ward</t>
  </si>
  <si>
    <t>wardj@summitplastic.com</t>
  </si>
  <si>
    <t>330-858-4465</t>
  </si>
  <si>
    <t>330-633-3668 x 109</t>
  </si>
  <si>
    <t>Renee Roudabush</t>
  </si>
  <si>
    <t>rroudabush@creogroup.com</t>
  </si>
  <si>
    <t>Tekni-Plex</t>
  </si>
  <si>
    <t>Chuck Breeden</t>
  </si>
  <si>
    <t>chuck.breeden@tekni-plex.com</t>
  </si>
  <si>
    <t>215-907-2105</t>
  </si>
  <si>
    <t>Jason Bird</t>
  </si>
  <si>
    <t>jason.bird@tekni-plex.com</t>
  </si>
  <si>
    <t>260-223-9315</t>
  </si>
  <si>
    <t>Keith Smith</t>
  </si>
  <si>
    <t>Keith.Smith@tekni-plex.com</t>
  </si>
  <si>
    <t>414-418-5580</t>
  </si>
  <si>
    <t>Michael Deitz</t>
  </si>
  <si>
    <t>michael.deitz@tekni-plex.com</t>
  </si>
  <si>
    <t>717-324-4164</t>
  </si>
  <si>
    <t>Randall Medlin</t>
  </si>
  <si>
    <t>Randall.Medlin@tekni-plex.com</t>
  </si>
  <si>
    <t>330-829-9609</t>
  </si>
  <si>
    <t>336-777-4040</t>
  </si>
  <si>
    <t>The HEH Group/Ultratech</t>
  </si>
  <si>
    <t>Dennis Toering</t>
  </si>
  <si>
    <t>330-818-0895</t>
  </si>
  <si>
    <t>Niki Watkins</t>
  </si>
  <si>
    <t>nwatkins@thehehgroup.com</t>
  </si>
  <si>
    <t>234-718-2580</t>
  </si>
  <si>
    <t>Tom Pallone</t>
  </si>
  <si>
    <t>330-203-3570</t>
  </si>
  <si>
    <t>Treno</t>
  </si>
  <si>
    <t>Joey (balloons) Conjerti</t>
  </si>
  <si>
    <t>joe.conjerti@shoemakerrigging.com</t>
  </si>
  <si>
    <t>330-571-3900</t>
  </si>
  <si>
    <t>330-899-9090</t>
  </si>
  <si>
    <t>Wyman Gordon Forgings, Inc.</t>
  </si>
  <si>
    <t>Tom Belcher</t>
  </si>
  <si>
    <t>tbelcher@wyman.com</t>
  </si>
  <si>
    <t>330-351-0320</t>
  </si>
  <si>
    <t>Yokohama Tire</t>
  </si>
  <si>
    <t>Delvin Jennett</t>
  </si>
  <si>
    <t>Delvin.jennett@yokohamatire.com</t>
  </si>
  <si>
    <t>704-293-1166</t>
  </si>
  <si>
    <t>Zagar Inc.</t>
  </si>
  <si>
    <t>Bill Berwald</t>
  </si>
  <si>
    <t>bill_berwald@zagarinc.com</t>
  </si>
  <si>
    <t>440-413-8416</t>
  </si>
  <si>
    <t>216-731-0500</t>
  </si>
  <si>
    <t>Brian Zagar</t>
  </si>
  <si>
    <t>brian_zagar@zagarinc.com</t>
  </si>
  <si>
    <t>Scott Correction</t>
  </si>
  <si>
    <t>Column1</t>
  </si>
  <si>
    <t/>
  </si>
  <si>
    <t>Prospect</t>
  </si>
  <si>
    <t>/ Arcadis</t>
  </si>
  <si>
    <t>matous becker</t>
  </si>
  <si>
    <t>Matous.becker@arcadis.com</t>
  </si>
  <si>
    <t>/ Diamond Line Containers</t>
  </si>
  <si>
    <t>Shayne Bishop</t>
  </si>
  <si>
    <t>shayne@diamondline.com</t>
  </si>
  <si>
    <t>/ Doyle Shamrock Industries</t>
  </si>
  <si>
    <t>matt doyle</t>
  </si>
  <si>
    <t>matt@doyleshamrock.com</t>
  </si>
  <si>
    <t>419-290-0873/</t>
  </si>
  <si>
    <t>/ Sodexo Project Management</t>
  </si>
  <si>
    <t>Bob Diamond</t>
  </si>
  <si>
    <t>bob.diamond@sodexo.com</t>
  </si>
  <si>
    <t>330-519-7641</t>
  </si>
  <si>
    <t>/ Veldkamp Machinery</t>
  </si>
  <si>
    <t>Joris te Riele</t>
  </si>
  <si>
    <t>jteriele@veldkamp.com</t>
  </si>
  <si>
    <t>31 (0)572 74 50 33</t>
  </si>
  <si>
    <t>/ Wheeler Recycling Technologies Inc</t>
  </si>
  <si>
    <t>Chris Boyer</t>
  </si>
  <si>
    <t>chris@wheelertechnologies.com</t>
  </si>
  <si>
    <t>219-947-9433</t>
  </si>
  <si>
    <t>3 Bar Biologics</t>
  </si>
  <si>
    <t>Bruce Caldwell</t>
  </si>
  <si>
    <t>brucecaldwell@3barbiologics.com</t>
  </si>
  <si>
    <t>614-271-9388</t>
  </si>
  <si>
    <t>4D Machine</t>
  </si>
  <si>
    <t>Ed Dupont</t>
  </si>
  <si>
    <t>dupontsfour@gmail.com</t>
  </si>
  <si>
    <t>7th Generation Recycling</t>
  </si>
  <si>
    <t>Frederick McDaniel</t>
  </si>
  <si>
    <t>Blade1544402@gmail.com</t>
  </si>
  <si>
    <t>440-853-3311</t>
  </si>
  <si>
    <t>A&amp;K Railroad Materials, Inc</t>
  </si>
  <si>
    <t>Joe Shinsky</t>
  </si>
  <si>
    <t>JShinsky@akrailroad.com</t>
  </si>
  <si>
    <t>419-902-4836</t>
  </si>
  <si>
    <t>419-537-9470</t>
  </si>
  <si>
    <t>A&amp;S Electrical Contractors, Inc.</t>
  </si>
  <si>
    <t>Mike Dudley</t>
  </si>
  <si>
    <t>asgadsden@bellsouth.net</t>
  </si>
  <si>
    <t>256-312-4965</t>
  </si>
  <si>
    <t>256-547-3456</t>
  </si>
  <si>
    <t>A.J. Rose Mfg Co.</t>
  </si>
  <si>
    <t>Dean Bremke</t>
  </si>
  <si>
    <t>dean@ajrose.com</t>
  </si>
  <si>
    <t>440-934-2854</t>
  </si>
  <si>
    <t>A.Schulman San Luis Potosi-Mexico Country</t>
  </si>
  <si>
    <t>Ricardo Sanchez</t>
  </si>
  <si>
    <t>Ricardo.Sanchez@aschulman.com</t>
  </si>
  <si>
    <t>52-444-870-0700 x7704</t>
  </si>
  <si>
    <t>A1 Machinery</t>
  </si>
  <si>
    <t>Drew Indurante</t>
  </si>
  <si>
    <t>sales@A1machinery.com</t>
  </si>
  <si>
    <t>815-459-5330</t>
  </si>
  <si>
    <t>A1 Welding and Fabrication, Inc</t>
  </si>
  <si>
    <t>Kenneth Balko</t>
  </si>
  <si>
    <t>A1WF2@centurytel.net</t>
  </si>
  <si>
    <t>440-233-8474</t>
  </si>
  <si>
    <t>ABC Plastics</t>
  </si>
  <si>
    <t>Ron Zimmerman</t>
  </si>
  <si>
    <t>ronz@abcplasticslodi.com</t>
  </si>
  <si>
    <t>440-387-9733</t>
  </si>
  <si>
    <t>330-948-3322</t>
  </si>
  <si>
    <t>Accelerated Global Solutions, Inc.</t>
  </si>
  <si>
    <t>Gabrielle Harris</t>
  </si>
  <si>
    <t>Gabrielle.Harris@agslogistics.com</t>
  </si>
  <si>
    <t>'+1-817-723-6523</t>
  </si>
  <si>
    <t>Ace Manufacturing</t>
  </si>
  <si>
    <t>Carl James</t>
  </si>
  <si>
    <t>kijames@ace-mfg.com</t>
  </si>
  <si>
    <t>573-468-1713</t>
  </si>
  <si>
    <t>Ace Rubber Products Inc</t>
  </si>
  <si>
    <t>Greg Garro</t>
  </si>
  <si>
    <t>330-376-3125</t>
  </si>
  <si>
    <t>ACS</t>
  </si>
  <si>
    <t>Daniel Drake</t>
  </si>
  <si>
    <t>ddrake@acscm.com</t>
  </si>
  <si>
    <t>262-409-9892</t>
  </si>
  <si>
    <t>864-605-6635</t>
  </si>
  <si>
    <t>Darryl Davidson</t>
  </si>
  <si>
    <t>ddavidson@acscm.com</t>
  </si>
  <si>
    <t>608-215-5263</t>
  </si>
  <si>
    <t>608-663-2623</t>
  </si>
  <si>
    <t>ACS Steel</t>
  </si>
  <si>
    <t>jrufener@acssteel.net</t>
  </si>
  <si>
    <t>234-806-8654</t>
  </si>
  <si>
    <t>Ada Extrusion</t>
  </si>
  <si>
    <t>Gary Boggs</t>
  </si>
  <si>
    <t>330-289-0178</t>
  </si>
  <si>
    <t>Adavantage Tool Supply, Inc</t>
  </si>
  <si>
    <t>Michael Prexta</t>
  </si>
  <si>
    <t>advantagetool@hotmail.com</t>
  </si>
  <si>
    <t>330-958-6935</t>
  </si>
  <si>
    <t>Advanced Industrial Services, Inv</t>
  </si>
  <si>
    <t>Jim Hess</t>
  </si>
  <si>
    <t>jim.hess@ais-york.com</t>
  </si>
  <si>
    <t>717-668-1115</t>
  </si>
  <si>
    <t>717-814-4972</t>
  </si>
  <si>
    <t>Advanced Riggers &amp; Millwrights</t>
  </si>
  <si>
    <t>Frankie Cherry</t>
  </si>
  <si>
    <t>frankie@advancedriggers.com</t>
  </si>
  <si>
    <t>951-295-6881</t>
  </si>
  <si>
    <t>951-361-9187</t>
  </si>
  <si>
    <t>Air Enterprises</t>
  </si>
  <si>
    <t>David Derheimer</t>
  </si>
  <si>
    <t>dderheimer@airenterprises.com</t>
  </si>
  <si>
    <t>330-510-0780</t>
  </si>
  <si>
    <t>Tim Case</t>
  </si>
  <si>
    <t>330-794-9770</t>
  </si>
  <si>
    <t>Airgas USA, LLC</t>
  </si>
  <si>
    <t>Brad Davis</t>
  </si>
  <si>
    <t>brad.davis@airgas.com</t>
  </si>
  <si>
    <t>234-214-2568</t>
  </si>
  <si>
    <t>330-453-8414</t>
  </si>
  <si>
    <t>Jaime Lopez</t>
  </si>
  <si>
    <t>jaime.lopez@airgas.com</t>
  </si>
  <si>
    <t>863-581-5823</t>
  </si>
  <si>
    <t>863-665-4864</t>
  </si>
  <si>
    <t>Mike Knappenberger</t>
  </si>
  <si>
    <t>mike.knappenberger@airgas.com</t>
  </si>
  <si>
    <t>330-437-7860</t>
  </si>
  <si>
    <t>Robert Peters</t>
  </si>
  <si>
    <t>bob.peters@airgas.com</t>
  </si>
  <si>
    <t>330-815-3646</t>
  </si>
  <si>
    <t>330-376-7701</t>
  </si>
  <si>
    <t>Rod Levally</t>
  </si>
  <si>
    <t>roddy.levally@airgas.com</t>
  </si>
  <si>
    <t>863-559-1974</t>
  </si>
  <si>
    <t>Akron Cotton Products, Inc</t>
  </si>
  <si>
    <t>Shawn Zwick</t>
  </si>
  <si>
    <t>shawn@akroncotton.com</t>
  </si>
  <si>
    <t>330-434-7171</t>
  </si>
  <si>
    <t>akron energy systems</t>
  </si>
  <si>
    <t>kevin hohlefelder</t>
  </si>
  <si>
    <t>khohlefelder@akronenergyllc.com</t>
  </si>
  <si>
    <t>330-696-0252</t>
  </si>
  <si>
    <t>Alco-chem</t>
  </si>
  <si>
    <t>Cristy Esposito</t>
  </si>
  <si>
    <t>cesposito@alco-chem.com</t>
  </si>
  <si>
    <t>330-813-0170</t>
  </si>
  <si>
    <t>330-833-8551</t>
  </si>
  <si>
    <t>ALL</t>
  </si>
  <si>
    <t>Norm Rados</t>
  </si>
  <si>
    <t>normr@allcleveland.com</t>
  </si>
  <si>
    <t>216-210-4400</t>
  </si>
  <si>
    <t>All States Freight Systems</t>
  </si>
  <si>
    <t>John Ward</t>
  </si>
  <si>
    <t>jward@allstatesfreight.com</t>
  </si>
  <si>
    <t>330-348-6247</t>
  </si>
  <si>
    <t>330-405-1000</t>
  </si>
  <si>
    <t>Allied Building</t>
  </si>
  <si>
    <t>Jason Bruce</t>
  </si>
  <si>
    <t>jason.bruce@alliedbuilding.com</t>
  </si>
  <si>
    <t>330-760-7374</t>
  </si>
  <si>
    <t>330-622-4173</t>
  </si>
  <si>
    <t>Allied Gator Inc</t>
  </si>
  <si>
    <t>Mike Ramun</t>
  </si>
  <si>
    <t>mr@alliedgator.com</t>
  </si>
  <si>
    <t>330-540-6453</t>
  </si>
  <si>
    <t>330-744-0808 x143</t>
  </si>
  <si>
    <t>Alpha Aluminum</t>
  </si>
  <si>
    <t>James Neely</t>
  </si>
  <si>
    <t>704-754-3959</t>
  </si>
  <si>
    <t>Alsey Refractories</t>
  </si>
  <si>
    <t>Kaylob Tang</t>
  </si>
  <si>
    <t>ktang@alsey.com</t>
  </si>
  <si>
    <t>314-963-7900</t>
  </si>
  <si>
    <t>America Best Corp</t>
  </si>
  <si>
    <t>Nawaz Baig</t>
  </si>
  <si>
    <t>info@americabestcorp.com</t>
  </si>
  <si>
    <t>/ 914-339-9387</t>
  </si>
  <si>
    <t>Ameri-Cal Corp</t>
  </si>
  <si>
    <t>Jessica Heid</t>
  </si>
  <si>
    <t>jessy@americalcorp.com</t>
  </si>
  <si>
    <t>330-725-7735  ext 203</t>
  </si>
  <si>
    <t>American Engineering Group</t>
  </si>
  <si>
    <t>Abraham Pannikottu</t>
  </si>
  <si>
    <t>abraham@engineering-group.com</t>
  </si>
  <si>
    <t>330-858-4653</t>
  </si>
  <si>
    <t>330-375-1975</t>
  </si>
  <si>
    <t>American Greeting CO.</t>
  </si>
  <si>
    <t>Bob Dedinsky</t>
  </si>
  <si>
    <t>bob.dedinsky@amgreetings.com</t>
  </si>
  <si>
    <t>440-227-0848</t>
  </si>
  <si>
    <t>American Kenda Rubber</t>
  </si>
  <si>
    <t>Jay Braucher</t>
  </si>
  <si>
    <t>JBraucher@KendaUSA.com</t>
  </si>
  <si>
    <t>330-353-4460</t>
  </si>
  <si>
    <t>330-526-0586</t>
  </si>
  <si>
    <t>American Ring</t>
  </si>
  <si>
    <t>Paul Lioi</t>
  </si>
  <si>
    <t>plioi@americanring.com</t>
  </si>
  <si>
    <t>American Salvage &amp; Trading Corp</t>
  </si>
  <si>
    <t>Mike McCulley</t>
  </si>
  <si>
    <t>mmcculley@american-salvage-trading.com</t>
  </si>
  <si>
    <t>863-860-6011</t>
  </si>
  <si>
    <t>863-425-2112</t>
  </si>
  <si>
    <t>American Stainless &amp; Supply</t>
  </si>
  <si>
    <t>Elton Caines</t>
  </si>
  <si>
    <t>ecaines@americanstainless.com</t>
  </si>
  <si>
    <t>843-910-0743</t>
  </si>
  <si>
    <t>800-845-5511</t>
  </si>
  <si>
    <t>Americarb</t>
  </si>
  <si>
    <t>Matt Reineke</t>
  </si>
  <si>
    <t>mattr@americarb.com</t>
  </si>
  <si>
    <t>330-714-9999</t>
  </si>
  <si>
    <t>Ameri-Line Inc-Connastoga Truck</t>
  </si>
  <si>
    <t>Greg Romanovich</t>
  </si>
  <si>
    <t>gromanov@ameri-line.com</t>
  </si>
  <si>
    <t>440-316-4500</t>
  </si>
  <si>
    <t>Amphion Analytical Engineering</t>
  </si>
  <si>
    <t>John Whitledge</t>
  </si>
  <si>
    <t>Jwhitledge@amphionae.com</t>
  </si>
  <si>
    <t>704-488-5284</t>
  </si>
  <si>
    <t>ANR Electric</t>
  </si>
  <si>
    <t>Nick Gotto</t>
  </si>
  <si>
    <t>anrelectric@yahoo.com</t>
  </si>
  <si>
    <t>330-714-4532</t>
  </si>
  <si>
    <t>ARC Gas &amp; Supply</t>
  </si>
  <si>
    <t>Don Wisniewski</t>
  </si>
  <si>
    <t>dwiz@arcgassupply.com</t>
  </si>
  <si>
    <t>216-633-9175</t>
  </si>
  <si>
    <t>216-341-5882</t>
  </si>
  <si>
    <t>Ark Shipping</t>
  </si>
  <si>
    <t>Deepak Jaitly</t>
  </si>
  <si>
    <t>deepak@arkaxis.com</t>
  </si>
  <si>
    <t>847-891-7100</t>
  </si>
  <si>
    <t>847-891-8402 ext. 8392</t>
  </si>
  <si>
    <t>Armo</t>
  </si>
  <si>
    <t>Morgan Woods</t>
  </si>
  <si>
    <t>mwoods@armotools.com</t>
  </si>
  <si>
    <t>519-652-3700</t>
  </si>
  <si>
    <t>Artiflex</t>
  </si>
  <si>
    <t>Bill Kutz</t>
  </si>
  <si>
    <t>bill.kutz@artiflexing.com</t>
  </si>
  <si>
    <t>330-413-2069</t>
  </si>
  <si>
    <t>330-262-2015 x3356</t>
  </si>
  <si>
    <t>Tony Richiutti</t>
  </si>
  <si>
    <t>tony.richiutti@artiflexmfg.com</t>
  </si>
  <si>
    <t>330-990-8989</t>
  </si>
  <si>
    <t>330-262-2015 x3221</t>
  </si>
  <si>
    <t>Asset Recovery Specialist</t>
  </si>
  <si>
    <t>Theresa Ladley</t>
  </si>
  <si>
    <t>tladley@arsnow.com</t>
  </si>
  <si>
    <t>858-277-7555 X 223</t>
  </si>
  <si>
    <t>Associated Materials</t>
  </si>
  <si>
    <t>Bob Gillespie</t>
  </si>
  <si>
    <t>rgillespie@associatedmaterials.com</t>
  </si>
  <si>
    <t>330-388-3844</t>
  </si>
  <si>
    <t>330-922-7751</t>
  </si>
  <si>
    <t>Jamal Hussein</t>
  </si>
  <si>
    <t>jhussein@associatedmaterials.com</t>
  </si>
  <si>
    <t>330-922-7712</t>
  </si>
  <si>
    <t>John Stanley</t>
  </si>
  <si>
    <t>jlstanley@associatedmaterials.com</t>
  </si>
  <si>
    <t>330-730-8164</t>
  </si>
  <si>
    <t>330-922-2084</t>
  </si>
  <si>
    <t>Larry Hovatter</t>
  </si>
  <si>
    <t>lhovatter@associatedmaterials.com</t>
  </si>
  <si>
    <t>330-922-5322</t>
  </si>
  <si>
    <t>ATS Logistics Services</t>
  </si>
  <si>
    <t>Angel Allen</t>
  </si>
  <si>
    <t>angelal@atsinc.com</t>
  </si>
  <si>
    <t>864-884-6262</t>
  </si>
  <si>
    <t>320-497-7246</t>
  </si>
  <si>
    <t>Autotool Inc</t>
  </si>
  <si>
    <t>Kirt Messenger</t>
  </si>
  <si>
    <t>kmessinger@autotoolinc.com</t>
  </si>
  <si>
    <t>Tom Ellis</t>
  </si>
  <si>
    <t>tellis@autotoolinc.com</t>
  </si>
  <si>
    <t>614-733-0222</t>
  </si>
  <si>
    <t>Avient Corp</t>
  </si>
  <si>
    <t>Lee.jester@avient.com</t>
  </si>
  <si>
    <t>419-577-0077</t>
  </si>
  <si>
    <t>B&amp;B Crane Rental</t>
  </si>
  <si>
    <t>Robert Baty</t>
  </si>
  <si>
    <t>rbaty@bbcrane.com</t>
  </si>
  <si>
    <t>423-400-3744</t>
  </si>
  <si>
    <t>423-842-4424</t>
  </si>
  <si>
    <t>Babcock &amp; Wilcox ( Barberton)</t>
  </si>
  <si>
    <t>Shawn P Vessalo</t>
  </si>
  <si>
    <t>spvessalo@babcock.com</t>
  </si>
  <si>
    <t>330-208-7483</t>
  </si>
  <si>
    <t>330-860-1297</t>
  </si>
  <si>
    <t>Tony Zalar</t>
  </si>
  <si>
    <t>jazalar@babcock.com</t>
  </si>
  <si>
    <t>330-419-1134</t>
  </si>
  <si>
    <t>330-860-1327</t>
  </si>
  <si>
    <t>Baker Iron &amp; Metal Co</t>
  </si>
  <si>
    <t>Frank Taylor</t>
  </si>
  <si>
    <t>859-519-6091</t>
  </si>
  <si>
    <t>859-255-5676</t>
  </si>
  <si>
    <t>Barber Spring</t>
  </si>
  <si>
    <t>John Galbraith</t>
  </si>
  <si>
    <t>412-973-4508</t>
  </si>
  <si>
    <t>412-782-7330</t>
  </si>
  <si>
    <t>Barloworld Handling</t>
  </si>
  <si>
    <t>Danny Johnson</t>
  </si>
  <si>
    <t>djohnson@handling.barloworld.com</t>
  </si>
  <si>
    <t>910-818-3154</t>
  </si>
  <si>
    <t>910-483-9025</t>
  </si>
  <si>
    <t>Base CRM</t>
  </si>
  <si>
    <t>Support Team</t>
  </si>
  <si>
    <t>'+1 (800) 940-9650</t>
  </si>
  <si>
    <t>BASF Construction Chemicals</t>
  </si>
  <si>
    <t>Jeff Kurtz</t>
  </si>
  <si>
    <t>jeffrey.kurtz@basf.com</t>
  </si>
  <si>
    <t>330-357-1057</t>
  </si>
  <si>
    <t>330-422-7552</t>
  </si>
  <si>
    <t>Liz Benitez-Adams</t>
  </si>
  <si>
    <t>liz.benitez@basf.com</t>
  </si>
  <si>
    <t>209-992-6853</t>
  </si>
  <si>
    <t>330-422-7562</t>
  </si>
  <si>
    <t>Matt Simpson</t>
  </si>
  <si>
    <t>matt.simpson@basf.com</t>
  </si>
  <si>
    <t>704-615-4777</t>
  </si>
  <si>
    <t>704-698-0312</t>
  </si>
  <si>
    <t>BCT Ohio &amp; Michigan</t>
  </si>
  <si>
    <t>Randy Teague</t>
  </si>
  <si>
    <t>randy@bctohio.com</t>
  </si>
  <si>
    <t>BDI</t>
  </si>
  <si>
    <t>Tom Carlozzi</t>
  </si>
  <si>
    <t>tcarlozzi@bdi-usa.com</t>
  </si>
  <si>
    <t>330-714-1432</t>
  </si>
  <si>
    <t>330-498-4980</t>
  </si>
  <si>
    <t>Bedell-Kraus</t>
  </si>
  <si>
    <t>Mike Casenhiser</t>
  </si>
  <si>
    <t>330-688-4881</t>
  </si>
  <si>
    <t>Beemer Industrial Grinding</t>
  </si>
  <si>
    <t>Larry Beemer</t>
  </si>
  <si>
    <t>larrysr@beemergrinding.com</t>
  </si>
  <si>
    <t>Benchmark Worldwide Transport</t>
  </si>
  <si>
    <t>Max Nielsen</t>
  </si>
  <si>
    <t>mnielsen@benchmarkworldwide.com</t>
  </si>
  <si>
    <t>281-821-8310</t>
  </si>
  <si>
    <t>Berkes Industries</t>
  </si>
  <si>
    <t>Ron Berkes</t>
  </si>
  <si>
    <t>650-436-8181</t>
  </si>
  <si>
    <t>Berlin Bicycles</t>
  </si>
  <si>
    <t>Donovan Berlin</t>
  </si>
  <si>
    <t>donovan@berlinbicycles.com</t>
  </si>
  <si>
    <t>330-753-1179</t>
  </si>
  <si>
    <t>Berman Moving Consultants</t>
  </si>
  <si>
    <t>Bob Jacobs</t>
  </si>
  <si>
    <t>jacobs@bermanmovers.com</t>
  </si>
  <si>
    <t>216-401-2282</t>
  </si>
  <si>
    <t>216-663-8816</t>
  </si>
  <si>
    <t>Berry Plastics</t>
  </si>
  <si>
    <t>Dave Homan</t>
  </si>
  <si>
    <t>330-995-3459</t>
  </si>
  <si>
    <t>Tom Boye</t>
  </si>
  <si>
    <t>330-954-3226</t>
  </si>
  <si>
    <t>Biochem Manufacturing</t>
  </si>
  <si>
    <t>Catherine Bonilla</t>
  </si>
  <si>
    <t>purchasing@excelag.com</t>
  </si>
  <si>
    <t>305-670-0145</t>
  </si>
  <si>
    <t>Birmingham Rail &amp; Locomotive</t>
  </si>
  <si>
    <t>Jeff Harris</t>
  </si>
  <si>
    <t>jharris@birminghamrail.com</t>
  </si>
  <si>
    <t>205-901-9931</t>
  </si>
  <si>
    <t>205-424-7245</t>
  </si>
  <si>
    <t>Blackhawk Industrial</t>
  </si>
  <si>
    <t>Brett Scarl</t>
  </si>
  <si>
    <t>brett.scarl@blackawkid.com</t>
  </si>
  <si>
    <t>440-465-3746</t>
  </si>
  <si>
    <t>330-460-7463</t>
  </si>
  <si>
    <t>Jay Costa</t>
  </si>
  <si>
    <t>jay.costa@blackhawkid.com</t>
  </si>
  <si>
    <t>413-374-4352</t>
  </si>
  <si>
    <t>413-382-7250</t>
  </si>
  <si>
    <t>Blair Duron</t>
  </si>
  <si>
    <t>Jack McDougall</t>
  </si>
  <si>
    <t>919-427-5546</t>
  </si>
  <si>
    <t>919-745-8212</t>
  </si>
  <si>
    <t>BlueLine Rental</t>
  </si>
  <si>
    <t>Damon Lazarine</t>
  </si>
  <si>
    <t>damon.lazarine@bluelinerental.com</t>
  </si>
  <si>
    <t>979-820-2714</t>
  </si>
  <si>
    <t>979-775-9137</t>
  </si>
  <si>
    <t>Boiler Tech, Inc/Columbus Jail</t>
  </si>
  <si>
    <t>Charlie Whitfield</t>
  </si>
  <si>
    <t>cdwboiler@yahoo.com</t>
  </si>
  <si>
    <t>216-214-4688</t>
  </si>
  <si>
    <t>Brian Howard Solutions</t>
  </si>
  <si>
    <t>Brianhowardsolutions@gmail.com</t>
  </si>
  <si>
    <t>330-284-1009</t>
  </si>
  <si>
    <t>Bristol Manufacturing</t>
  </si>
  <si>
    <t>Vic Moody</t>
  </si>
  <si>
    <t>vmoody@bristolsteel.com</t>
  </si>
  <si>
    <t>810-602-3967</t>
  </si>
  <si>
    <t>810-658-9510</t>
  </si>
  <si>
    <t>Brown Machine LLC</t>
  </si>
  <si>
    <t>Brian Winton</t>
  </si>
  <si>
    <t>bwinton@brown-machine.com</t>
  </si>
  <si>
    <t>989-430-4363</t>
  </si>
  <si>
    <t>989-435-7741 x2232</t>
  </si>
  <si>
    <t>Flent Brubaker</t>
  </si>
  <si>
    <t>fbrubaker@brown-machine.com</t>
  </si>
  <si>
    <t>989-859-2747</t>
  </si>
  <si>
    <t>989-435-7741 x1034</t>
  </si>
  <si>
    <t>B-Safe Consultants</t>
  </si>
  <si>
    <t>Kenneth Brashear</t>
  </si>
  <si>
    <t>910-364-4603</t>
  </si>
  <si>
    <t>Buckeye Marble and Granite</t>
  </si>
  <si>
    <t>Anthony Keen</t>
  </si>
  <si>
    <t>buckeyemarbleandgranite@ymail.com</t>
  </si>
  <si>
    <t>Buffalo Construction Consultants, Inc.</t>
  </si>
  <si>
    <t>DJ Demarco</t>
  </si>
  <si>
    <t>ddemarco@jcconstructionsupport.com</t>
  </si>
  <si>
    <t>Busy Bee Restorations</t>
  </si>
  <si>
    <t>Tru A</t>
  </si>
  <si>
    <t>tru@roofbee.net / 330-442-8146</t>
  </si>
  <si>
    <t>330-442-8146</t>
  </si>
  <si>
    <t>Butech Bliss</t>
  </si>
  <si>
    <t>Brian Meeks</t>
  </si>
  <si>
    <t>bmeeks@butech.com</t>
  </si>
  <si>
    <t>330-337-0000</t>
  </si>
  <si>
    <t>Canton Drop Forge</t>
  </si>
  <si>
    <t>Chuck Gansen</t>
  </si>
  <si>
    <t>Cgansen2@cantondropforge.com</t>
  </si>
  <si>
    <t>330-477-4511</t>
  </si>
  <si>
    <t>Cape Fear Electric Company</t>
  </si>
  <si>
    <t>Marvin Scaggs</t>
  </si>
  <si>
    <t>mscfe@infionline.net</t>
  </si>
  <si>
    <t>910-237-7080</t>
  </si>
  <si>
    <t>910-488-1420</t>
  </si>
  <si>
    <t>Capital Equipment</t>
  </si>
  <si>
    <t>Zoe</t>
  </si>
  <si>
    <t>847-345-4341</t>
  </si>
  <si>
    <t>Carter Lumber</t>
  </si>
  <si>
    <t>Lumber Lumber</t>
  </si>
  <si>
    <t>330-620-7120</t>
  </si>
  <si>
    <t>CAT Technologies LLC</t>
  </si>
  <si>
    <t>Domenick Catanese</t>
  </si>
  <si>
    <t>drcatanese@cat-llc.com</t>
  </si>
  <si>
    <t>440-667-6844</t>
  </si>
  <si>
    <t>440-833-0075</t>
  </si>
  <si>
    <t>CC&amp;G Enterprises, Inc.</t>
  </si>
  <si>
    <t>Gaylord Sheldon</t>
  </si>
  <si>
    <t>kingrailer@aol.com</t>
  </si>
  <si>
    <t>419-466-2441</t>
  </si>
  <si>
    <t>419-855-9939</t>
  </si>
  <si>
    <t>CDM Smith Inc.</t>
  </si>
  <si>
    <t>Kevin Monesano</t>
  </si>
  <si>
    <t>kmonesano@louisperry.com</t>
  </si>
  <si>
    <t>Centimark Corporation</t>
  </si>
  <si>
    <t>Brent Blair</t>
  </si>
  <si>
    <t>brent.blair@centimark.com</t>
  </si>
  <si>
    <t>330-920-3586</t>
  </si>
  <si>
    <t>Champion Injection Molding, Inc</t>
  </si>
  <si>
    <t>Kevin O'Donnell</t>
  </si>
  <si>
    <t>Kodonnell@championinjection.com</t>
  </si>
  <si>
    <t>330-392-0771</t>
  </si>
  <si>
    <t>Chemco Services Inc</t>
  </si>
  <si>
    <t>Ed Hibyan</t>
  </si>
  <si>
    <t>ehibyan@chemcoservices.com</t>
  </si>
  <si>
    <t>Choice Aire HVAC</t>
  </si>
  <si>
    <t>Eric Morrow</t>
  </si>
  <si>
    <t>eric@choiceaire.com</t>
  </si>
  <si>
    <t>330-945-6223</t>
  </si>
  <si>
    <t>330-630-9822</t>
  </si>
  <si>
    <t>CIA Industrial</t>
  </si>
  <si>
    <t>Jeff Luggen</t>
  </si>
  <si>
    <t>jeffjr@cia-industrial.com</t>
  </si>
  <si>
    <t>513-708-9071</t>
  </si>
  <si>
    <t>513-241-9701</t>
  </si>
  <si>
    <t>Joe Luggen</t>
  </si>
  <si>
    <t>joe@cia-industrial.com</t>
  </si>
  <si>
    <t>513-886-1268</t>
  </si>
  <si>
    <t>Cintas</t>
  </si>
  <si>
    <t>Mike Hansbrough</t>
  </si>
  <si>
    <t>hansbroughm@cintas.com</t>
  </si>
  <si>
    <t>757-215-6326</t>
  </si>
  <si>
    <t>Circle Prime Manufacturing</t>
  </si>
  <si>
    <t>Shannon Duffy</t>
  </si>
  <si>
    <t>shannond@circleprime.com</t>
  </si>
  <si>
    <t>330-923-0019</t>
  </si>
  <si>
    <t>City of Wadsworth</t>
  </si>
  <si>
    <t>Jason Jamil</t>
  </si>
  <si>
    <t>jjamil@wadsworthcity.org</t>
  </si>
  <si>
    <t>330-419-4900</t>
  </si>
  <si>
    <t>City Wide Solutions</t>
  </si>
  <si>
    <t>Olivia Caraccilo</t>
  </si>
  <si>
    <t>ocaraccilo@gocitywide.com</t>
  </si>
  <si>
    <t>614-949-7100</t>
  </si>
  <si>
    <t>Civil Design Inc</t>
  </si>
  <si>
    <t>Jeff Cooley</t>
  </si>
  <si>
    <t>jcooley@civildes.com</t>
  </si>
  <si>
    <t>605-696-3200</t>
  </si>
  <si>
    <t>Clark Machinery Sales</t>
  </si>
  <si>
    <t>Daniel Purcell</t>
  </si>
  <si>
    <t>daniel@clarkmachinerysales.com</t>
  </si>
  <si>
    <t>443-847-0549</t>
  </si>
  <si>
    <t>Cleveland Machinery Sales</t>
  </si>
  <si>
    <t>Charlie Cek</t>
  </si>
  <si>
    <t>cdcek@live.com</t>
  </si>
  <si>
    <t>330-807-2300</t>
  </si>
  <si>
    <t>216-741-8900</t>
  </si>
  <si>
    <t>Climate Control Inc</t>
  </si>
  <si>
    <t>Mark Gosney</t>
  </si>
  <si>
    <t>mgosney@ccisys.com</t>
  </si>
  <si>
    <t>434-222-4126</t>
  </si>
  <si>
    <t>434-572-6986</t>
  </si>
  <si>
    <t>Clinton Machine</t>
  </si>
  <si>
    <t>Aaron Podnar</t>
  </si>
  <si>
    <t>aaron.podnar@clintonmachineco.com</t>
  </si>
  <si>
    <t>Clock Electric</t>
  </si>
  <si>
    <t>Matthew Sauernheimer</t>
  </si>
  <si>
    <t>matt@clockelectric.com</t>
  </si>
  <si>
    <t>216-926-9511</t>
  </si>
  <si>
    <t>216-221-1400</t>
  </si>
  <si>
    <t>Clover Recycling</t>
  </si>
  <si>
    <t>Jenny Smith</t>
  </si>
  <si>
    <t>Jlsmith@cloverrecycling.org</t>
  </si>
  <si>
    <t>443-995-1632</t>
  </si>
  <si>
    <t>CM Transport</t>
  </si>
  <si>
    <t>Ryan Rechner</t>
  </si>
  <si>
    <t>rrechner@cmtransport.com</t>
  </si>
  <si>
    <t>CMC Recycling</t>
  </si>
  <si>
    <t>Kipp Kincer</t>
  </si>
  <si>
    <t>kipp.kincer@cmc.com</t>
  </si>
  <si>
    <t>423-304-0952</t>
  </si>
  <si>
    <t>423-267-2181</t>
  </si>
  <si>
    <t>CMS Logistics Inc.</t>
  </si>
  <si>
    <t>Charles Kim</t>
  </si>
  <si>
    <t>213-364-7124</t>
  </si>
  <si>
    <t>847-258-3380</t>
  </si>
  <si>
    <t>Rick Yoo</t>
  </si>
  <si>
    <t>lax@cmslogisticsinc.com</t>
  </si>
  <si>
    <t>626-589-8016</t>
  </si>
  <si>
    <t>Collins Aerospace</t>
  </si>
  <si>
    <t>Earl Cobourn 111</t>
  </si>
  <si>
    <t>earl.cobournlll@collins.com</t>
  </si>
  <si>
    <t>330-374-2352</t>
  </si>
  <si>
    <t>Color Matrix Corporation</t>
  </si>
  <si>
    <t>Ken Hayes</t>
  </si>
  <si>
    <t>ken.hayes@polyone.com</t>
  </si>
  <si>
    <t>440-465-8396</t>
  </si>
  <si>
    <t>Coltene Inc.</t>
  </si>
  <si>
    <t>Noah Wells</t>
  </si>
  <si>
    <t>noah.wells@coltene.com</t>
  </si>
  <si>
    <t>330-916-8814</t>
  </si>
  <si>
    <t>Comet Technologies USA, Inc.</t>
  </si>
  <si>
    <t>Jeff Martyka</t>
  </si>
  <si>
    <t>jeff.martyka@cometusa.com</t>
  </si>
  <si>
    <t>563-549-3396</t>
  </si>
  <si>
    <t>Consulting Engineer</t>
  </si>
  <si>
    <t>Robert Irwin Sr.</t>
  </si>
  <si>
    <t>rdirwin@neo.rr.com</t>
  </si>
  <si>
    <t>330-705-4819</t>
  </si>
  <si>
    <t>Conti Tool &amp; Die</t>
  </si>
  <si>
    <t>Joe Conti</t>
  </si>
  <si>
    <t>joe@contitool.com</t>
  </si>
  <si>
    <t>Cornerstone Logistics</t>
  </si>
  <si>
    <t>Aric Reeve</t>
  </si>
  <si>
    <t>areeve@cornerstonelogistics.com</t>
  </si>
  <si>
    <t>716-295-0156</t>
  </si>
  <si>
    <t>Cosmo Corporation</t>
  </si>
  <si>
    <t>Lisa Brown</t>
  </si>
  <si>
    <t>PchUS@cosmocorp.com</t>
  </si>
  <si>
    <t>Costello Dismantling Co</t>
  </si>
  <si>
    <t>Daniel Costello</t>
  </si>
  <si>
    <t>dan@costellodismantling.com</t>
  </si>
  <si>
    <t>508-958-9264</t>
  </si>
  <si>
    <t>508-291-2324</t>
  </si>
  <si>
    <t>Craneworks</t>
  </si>
  <si>
    <t>Nikol Gaut</t>
  </si>
  <si>
    <t>Nikol@craneworks.com</t>
  </si>
  <si>
    <t>205-960-6606</t>
  </si>
  <si>
    <t>CSX</t>
  </si>
  <si>
    <t>Marcus Campione</t>
  </si>
  <si>
    <t>marcus_campione@csx.com</t>
  </si>
  <si>
    <t>847-946-3099</t>
  </si>
  <si>
    <t>317-267-4420</t>
  </si>
  <si>
    <t>Nathan Floyd</t>
  </si>
  <si>
    <t>nathan_floyd@csx.com</t>
  </si>
  <si>
    <t>904-279-3937</t>
  </si>
  <si>
    <t>W.R. "Bill" Stewart</t>
  </si>
  <si>
    <t>bill_r_stewart@csx.com</t>
  </si>
  <si>
    <t>865-607-5083</t>
  </si>
  <si>
    <t>770-819-2841</t>
  </si>
  <si>
    <t>CT Hydraulics Inc</t>
  </si>
  <si>
    <t>Kyle Klaric</t>
  </si>
  <si>
    <t>kyle@cthydraulic.com</t>
  </si>
  <si>
    <t>239-900-7272</t>
  </si>
  <si>
    <t>CWWA Inc.</t>
  </si>
  <si>
    <t>Tom Little</t>
  </si>
  <si>
    <t>tlittle@cwwainc.com</t>
  </si>
  <si>
    <t>330-697-4440</t>
  </si>
  <si>
    <t>330-722-9001 x106</t>
  </si>
  <si>
    <t>D/C Transport</t>
  </si>
  <si>
    <t>Brendan Broderick</t>
  </si>
  <si>
    <t>brendanb@dcexport.com</t>
  </si>
  <si>
    <t>773-742-5362</t>
  </si>
  <si>
    <t>DA Extrusion</t>
  </si>
  <si>
    <t>sspengler@DAExtrusion.com</t>
  </si>
  <si>
    <t>330-762-9262</t>
  </si>
  <si>
    <t>DB &amp; S Steel</t>
  </si>
  <si>
    <t>Donna Nagel</t>
  </si>
  <si>
    <t>donna@dbssteel.com</t>
  </si>
  <si>
    <t>724-843-9400</t>
  </si>
  <si>
    <t>Dean Consulting Corp</t>
  </si>
  <si>
    <t>Mark Dean</t>
  </si>
  <si>
    <t>mdvette65@aol.com</t>
  </si>
  <si>
    <t>864-907-3604</t>
  </si>
  <si>
    <t>864-968-9296</t>
  </si>
  <si>
    <t>Deflecto LLC</t>
  </si>
  <si>
    <t>Robert Rafter</t>
  </si>
  <si>
    <t>robert.rafter@deflecto.com</t>
  </si>
  <si>
    <t>330-283-3296</t>
  </si>
  <si>
    <t>DellPet LLC</t>
  </si>
  <si>
    <t>Adam Busby</t>
  </si>
  <si>
    <t>Adam.busby@dellpet.com</t>
  </si>
  <si>
    <t>937-571-5763</t>
  </si>
  <si>
    <t>Design Build Plus</t>
  </si>
  <si>
    <t>Ben Devine</t>
  </si>
  <si>
    <t>bdevine@plusgroup.com</t>
  </si>
  <si>
    <t>513-618-4758</t>
  </si>
  <si>
    <t>Destiny Manufacturing</t>
  </si>
  <si>
    <t>eric lovell</t>
  </si>
  <si>
    <t>eric.lovell@destinymfg.com</t>
  </si>
  <si>
    <t>DHL Bowles</t>
  </si>
  <si>
    <t>Scott Gill</t>
  </si>
  <si>
    <t>sgill@dhlbowles.com</t>
  </si>
  <si>
    <t>330-479-7587</t>
  </si>
  <si>
    <t>Diamond America</t>
  </si>
  <si>
    <t>Steve Spangler</t>
  </si>
  <si>
    <t>330-762-9269</t>
  </si>
  <si>
    <t>Diebold Nixdorf</t>
  </si>
  <si>
    <t>Carlos Naranjo</t>
  </si>
  <si>
    <t>carlos.naranjo@dieboldnixdorf.com</t>
  </si>
  <si>
    <t>525-533-0070</t>
  </si>
  <si>
    <t>Tad Leach</t>
  </si>
  <si>
    <t>thaddeus.leach@dieboldnixdorf.com</t>
  </si>
  <si>
    <t>330-704-6112</t>
  </si>
  <si>
    <t>Digital Room Inc.</t>
  </si>
  <si>
    <t>Kevin Ramey</t>
  </si>
  <si>
    <t>kevin.ra@digitalroominc.com</t>
  </si>
  <si>
    <t>Dimon &amp; Bacron Inc.</t>
  </si>
  <si>
    <t>Mike Dimon</t>
  </si>
  <si>
    <t>mdimon@dimonandbacorn.com</t>
  </si>
  <si>
    <t>Diversified Fabricators Inc</t>
  </si>
  <si>
    <t>Bob Landuyt</t>
  </si>
  <si>
    <t>bob@diversifiedfab.com</t>
  </si>
  <si>
    <t>586-868-1000</t>
  </si>
  <si>
    <t>Dotlich Crane Services, Inc</t>
  </si>
  <si>
    <t>Don Dotlich</t>
  </si>
  <si>
    <t>317-247-6611</t>
  </si>
  <si>
    <t>Dover Fab &amp; Burn</t>
  </si>
  <si>
    <t>Shawn Newsome</t>
  </si>
  <si>
    <t>snewsome@doverfabandburn.com</t>
  </si>
  <si>
    <t>Dozier Industrial Electric Inc</t>
  </si>
  <si>
    <t>Blake Dozier</t>
  </si>
  <si>
    <t>bdozier@dozierindustrialelectric.com</t>
  </si>
  <si>
    <t>252-382-0928</t>
  </si>
  <si>
    <t>252-451-0020</t>
  </si>
  <si>
    <t>Duke Manufacturing</t>
  </si>
  <si>
    <t>Chris Debruycker</t>
  </si>
  <si>
    <t>chris@duke-mfg.com</t>
  </si>
  <si>
    <t>814-282-2261</t>
  </si>
  <si>
    <t>440-942-6537</t>
  </si>
  <si>
    <t>Sam Miller</t>
  </si>
  <si>
    <t>216-217-6188</t>
  </si>
  <si>
    <t>Duncan Press</t>
  </si>
  <si>
    <t>Jud Parker</t>
  </si>
  <si>
    <t>jparker@duncanpress-inc.com</t>
  </si>
  <si>
    <t>330-4774529</t>
  </si>
  <si>
    <t>E&amp;T Plastics</t>
  </si>
  <si>
    <t>Marc Fuller</t>
  </si>
  <si>
    <t>mfuller@e-tplastics.com</t>
  </si>
  <si>
    <t>330-798-6161</t>
  </si>
  <si>
    <t>East Coast Specialized Hualing</t>
  </si>
  <si>
    <t>Tammy Quiroz</t>
  </si>
  <si>
    <t>tquiroz@ectts.com</t>
  </si>
  <si>
    <t>757-641-4881</t>
  </si>
  <si>
    <t>757-465-2209</t>
  </si>
  <si>
    <t>Eastern Machine</t>
  </si>
  <si>
    <t>Dick Knighton</t>
  </si>
  <si>
    <t>easternmachine@ohio.net</t>
  </si>
  <si>
    <t>330-658-6350</t>
  </si>
  <si>
    <t>ECM Performance Materials Corp</t>
  </si>
  <si>
    <t>James Lawrence</t>
  </si>
  <si>
    <t>jlawrence@ecmpmc.com</t>
  </si>
  <si>
    <t>Edwards Inc</t>
  </si>
  <si>
    <t>Doug Peace</t>
  </si>
  <si>
    <t>dpeace@edwardsinc.com</t>
  </si>
  <si>
    <t>252-883-8538</t>
  </si>
  <si>
    <t>252-478-4661</t>
  </si>
  <si>
    <t>Effer</t>
  </si>
  <si>
    <t>Tim Smith</t>
  </si>
  <si>
    <t>tim@efferusa.com</t>
  </si>
  <si>
    <t>330-620-0909</t>
  </si>
  <si>
    <t>330-916-6461</t>
  </si>
  <si>
    <t>Elect Mold Service, Inc</t>
  </si>
  <si>
    <t>Bob Plesz</t>
  </si>
  <si>
    <t>910-323-1287</t>
  </si>
  <si>
    <t>Electrical Recovery</t>
  </si>
  <si>
    <t>Allen Miller</t>
  </si>
  <si>
    <t>Randy Miller</t>
  </si>
  <si>
    <t>electrical.recovery@aol.com</t>
  </si>
  <si>
    <t>561-225-3462</t>
  </si>
  <si>
    <t>Electron Energy Corp.</t>
  </si>
  <si>
    <t>Thomas Schreder</t>
  </si>
  <si>
    <t>schreder@electronenergy.com</t>
  </si>
  <si>
    <t>717/459/1045</t>
  </si>
  <si>
    <t>Elite Machinery</t>
  </si>
  <si>
    <t>David Hausmann</t>
  </si>
  <si>
    <t>dave@elitemachinerysystems.com</t>
  </si>
  <si>
    <t>440-878-9100 next 14</t>
  </si>
  <si>
    <t>Elite Rail Services, LLC</t>
  </si>
  <si>
    <t>Shannon Hobbs</t>
  </si>
  <si>
    <t>shannon-hobbs@hotmail.com</t>
  </si>
  <si>
    <t>816-260-0059</t>
  </si>
  <si>
    <t>Emerson Grinding</t>
  </si>
  <si>
    <t>eremerson@emersongrinding.com</t>
  </si>
  <si>
    <t>330-671-5592</t>
  </si>
  <si>
    <t>Enprotech Industrial Technologies</t>
  </si>
  <si>
    <t>Tony Minkalis</t>
  </si>
  <si>
    <t>tminkalis@enprotech.com</t>
  </si>
  <si>
    <t>517-719-2186</t>
  </si>
  <si>
    <t>Entec, Inc.</t>
  </si>
  <si>
    <t>EPC Sealing</t>
  </si>
  <si>
    <t>Erico</t>
  </si>
  <si>
    <t>George Nahra</t>
  </si>
  <si>
    <t>fnahra@erico.com</t>
  </si>
  <si>
    <t>440-248-0100 x2623</t>
  </si>
  <si>
    <t>Erie International Group</t>
  </si>
  <si>
    <t>Adam Dresnek</t>
  </si>
  <si>
    <t>adresnek@erieig.com</t>
  </si>
  <si>
    <t>440-813-7784</t>
  </si>
  <si>
    <t>Esterle Mold and Machine Co., Inc</t>
  </si>
  <si>
    <t>Joshua Lloyd</t>
  </si>
  <si>
    <t>jllyod@esterle.com</t>
  </si>
  <si>
    <t>330-681-1685</t>
  </si>
  <si>
    <t>Ruben Noling</t>
  </si>
  <si>
    <t>rnoling@esterle.com</t>
  </si>
  <si>
    <t>330-686-1685</t>
  </si>
  <si>
    <t>ET Equipment Trading Co.</t>
  </si>
  <si>
    <t>Don Paul</t>
  </si>
  <si>
    <t>donpaul@equipmenttrading.com</t>
  </si>
  <si>
    <t>248-926-0088</t>
  </si>
  <si>
    <t>Etched</t>
  </si>
  <si>
    <t>Chris Berland</t>
  </si>
  <si>
    <t>chris@riggrep.com</t>
  </si>
  <si>
    <t>251-753-4732</t>
  </si>
  <si>
    <t>Excel Baler</t>
  </si>
  <si>
    <t>Nick</t>
  </si>
  <si>
    <t>612-819-5289</t>
  </si>
  <si>
    <t>Excel Machining</t>
  </si>
  <si>
    <t>Krzystof Ciszek</t>
  </si>
  <si>
    <t>Chris4466@comcast.net</t>
  </si>
  <si>
    <t>708-228-7122</t>
  </si>
  <si>
    <t>Fairbanks Scales</t>
  </si>
  <si>
    <t>Pat Falkosky</t>
  </si>
  <si>
    <t>pfalkosky@fairbanks.com</t>
  </si>
  <si>
    <t>216-550-3764</t>
  </si>
  <si>
    <t>Farnsworth Metal Recycling</t>
  </si>
  <si>
    <t>Bill Speidel</t>
  </si>
  <si>
    <t>bspeidel@farnsworthnetals.com</t>
  </si>
  <si>
    <t>317-539-9732</t>
  </si>
  <si>
    <t>Fenix Fabrication, Inc.</t>
  </si>
  <si>
    <t>Alex Leipold</t>
  </si>
  <si>
    <t>aleipold@fenixfab.com</t>
  </si>
  <si>
    <t>330-715-1981</t>
  </si>
  <si>
    <t>330-860-8800</t>
  </si>
  <si>
    <t>Tony Joseph</t>
  </si>
  <si>
    <t>330-860-8800 Ext 110</t>
  </si>
  <si>
    <t>Ferragon Corporation</t>
  </si>
  <si>
    <t>Ed Gonzalez</t>
  </si>
  <si>
    <t>egonzalez@ferragon.com</t>
  </si>
  <si>
    <t>216-403-1227</t>
  </si>
  <si>
    <t>216-671-6161</t>
  </si>
  <si>
    <t>Ferrous Metal Processing</t>
  </si>
  <si>
    <t>Mark Nester</t>
  </si>
  <si>
    <t>mnester@ferragon.com</t>
  </si>
  <si>
    <t>419-307-8678</t>
  </si>
  <si>
    <t>Ferry Industries</t>
  </si>
  <si>
    <t>Phil Taylor</t>
  </si>
  <si>
    <t>ptaylor@ferryindustries.com</t>
  </si>
  <si>
    <t>330-920-9200</t>
  </si>
  <si>
    <t>FEW Automotive Group</t>
  </si>
  <si>
    <t>Gunther Hoffman</t>
  </si>
  <si>
    <t>ghoffman@dbwfiber.com</t>
  </si>
  <si>
    <t>828-461-6253</t>
  </si>
  <si>
    <t>Filtrexx</t>
  </si>
  <si>
    <t>Nick Strazar</t>
  </si>
  <si>
    <t>nicholas.strazar@filtrexx.com</t>
  </si>
  <si>
    <t>440-371-1261</t>
  </si>
  <si>
    <t>234-466-0817</t>
  </si>
  <si>
    <t>Fleming &amp; Associates, P.A.</t>
  </si>
  <si>
    <t>Steve Fleming</t>
  </si>
  <si>
    <t>sfleming@flemingandassociates.com</t>
  </si>
  <si>
    <t>910-433-2825</t>
  </si>
  <si>
    <t>FMI Products, LLC</t>
  </si>
  <si>
    <t>Edward Hayda</t>
  </si>
  <si>
    <t>ehayda@fmiconnect.com</t>
  </si>
  <si>
    <t>440-572-1910</t>
  </si>
  <si>
    <t>FMS Machine Distributors</t>
  </si>
  <si>
    <t>Laura George</t>
  </si>
  <si>
    <t>lgeorge@fmsmachinery.com</t>
  </si>
  <si>
    <t>440-886-3232</t>
  </si>
  <si>
    <t>Foundry Sand Service</t>
  </si>
  <si>
    <t>Jim Krug</t>
  </si>
  <si>
    <t>HMcanallen@foundrysands.com</t>
  </si>
  <si>
    <t>330-323-2714</t>
  </si>
  <si>
    <t>330-823-6152</t>
  </si>
  <si>
    <t>Fukuvi</t>
  </si>
  <si>
    <t>Ronald Pierce</t>
  </si>
  <si>
    <t>ron.pierce@fukuvi-usa.com</t>
  </si>
  <si>
    <t>937-236-7288</t>
  </si>
  <si>
    <t>G-2000 Inc.</t>
  </si>
  <si>
    <t>Evan Yoder</t>
  </si>
  <si>
    <t>evan@g2000inc.com</t>
  </si>
  <si>
    <t>419-266-8152</t>
  </si>
  <si>
    <t>419-536-4445</t>
  </si>
  <si>
    <t>Gabriel Chemical</t>
  </si>
  <si>
    <t>Chris Wozniak</t>
  </si>
  <si>
    <t>chris.wozniak@gabrielchem.com</t>
  </si>
  <si>
    <t>440-992-3203</t>
  </si>
  <si>
    <t>GE Power</t>
  </si>
  <si>
    <t>Randy Wilson</t>
  </si>
  <si>
    <t>randy.t.wilson@power.alstom.com</t>
  </si>
  <si>
    <t>423-322-0424</t>
  </si>
  <si>
    <t>423-752-2946</t>
  </si>
  <si>
    <t>Rick Haglund</t>
  </si>
  <si>
    <t>rick.haglund@power.alstom.com</t>
  </si>
  <si>
    <t>Genera Energy</t>
  </si>
  <si>
    <t>Clay Dye</t>
  </si>
  <si>
    <t>865-202-4534</t>
  </si>
  <si>
    <t>Keith Brazzell</t>
  </si>
  <si>
    <t>kbrazzell@generaenergy.com</t>
  </si>
  <si>
    <t>865-456-4151</t>
  </si>
  <si>
    <t>423-884-4123</t>
  </si>
  <si>
    <t>Giant Eagle</t>
  </si>
  <si>
    <t>Mike Cartinian</t>
  </si>
  <si>
    <t>Glo Mold, inc</t>
  </si>
  <si>
    <t>Eric Conroy</t>
  </si>
  <si>
    <t>eric@valleyrubber.com</t>
  </si>
  <si>
    <t>216-310-1675</t>
  </si>
  <si>
    <t>Glynn County Georgia</t>
  </si>
  <si>
    <t>Michael Browning</t>
  </si>
  <si>
    <t>mbrowning@glynncounty-ga.gov</t>
  </si>
  <si>
    <t>912-574-9150</t>
  </si>
  <si>
    <t>912-264-3697</t>
  </si>
  <si>
    <t>GP Plasma Process Engineering</t>
  </si>
  <si>
    <t>Frank Papa</t>
  </si>
  <si>
    <t>frank@gpplasma.com</t>
  </si>
  <si>
    <t>530-601-8860</t>
  </si>
  <si>
    <t>Green Cremations</t>
  </si>
  <si>
    <t>Todd Green</t>
  </si>
  <si>
    <t>todd.greenpetservices@gmail.com</t>
  </si>
  <si>
    <t>412-719-2008</t>
  </si>
  <si>
    <t>412-430-7387</t>
  </si>
  <si>
    <t>Grieve Corporation</t>
  </si>
  <si>
    <t>Tony Monarrez</t>
  </si>
  <si>
    <t>tonym@grievemail.com</t>
  </si>
  <si>
    <t>224-585-7129</t>
  </si>
  <si>
    <t>Gulf Coast Converting Equip.</t>
  </si>
  <si>
    <t>Kenny O'Neil</t>
  </si>
  <si>
    <t>sales@convertingequip.com</t>
  </si>
  <si>
    <t>617-803-7420</t>
  </si>
  <si>
    <t>Hankook Tire</t>
  </si>
  <si>
    <t>David Stephen</t>
  </si>
  <si>
    <t>david.a.stephen@hankook.com</t>
  </si>
  <si>
    <t>931-472-3479</t>
  </si>
  <si>
    <t>Ethan Pan</t>
  </si>
  <si>
    <t>810-407-0979</t>
  </si>
  <si>
    <t>Hartville Cabinet</t>
  </si>
  <si>
    <t>Kyle Haynam</t>
  </si>
  <si>
    <t>khaynam@hartvillecabinet.com</t>
  </si>
  <si>
    <t>330-206-7505</t>
  </si>
  <si>
    <t>Hawk Manufacturing</t>
  </si>
  <si>
    <t>Lee Combs</t>
  </si>
  <si>
    <t>330-784-3151</t>
  </si>
  <si>
    <t>Ron Wright</t>
  </si>
  <si>
    <t>rwright@hawkmfg.com</t>
  </si>
  <si>
    <t>330-807-1808</t>
  </si>
  <si>
    <t>Hensley Metalworks, Inc</t>
  </si>
  <si>
    <t>Kim Hensley</t>
  </si>
  <si>
    <t>910-483-5191</t>
  </si>
  <si>
    <t>Herman Machine Inc.</t>
  </si>
  <si>
    <t>Buddy Catlette</t>
  </si>
  <si>
    <t>BUDDY@HERMANMACHINE.NET</t>
  </si>
  <si>
    <t>330-495-8132</t>
  </si>
  <si>
    <t>Collin Schlosser</t>
  </si>
  <si>
    <t>collin.schlosser@hermanmachine.com</t>
  </si>
  <si>
    <t>330-633-3261</t>
  </si>
  <si>
    <t>Heroux Devtek (HDI) Landing Gear USA</t>
  </si>
  <si>
    <t>Kevin Lewis</t>
  </si>
  <si>
    <t>937-408-3789</t>
  </si>
  <si>
    <t>Hess Industries</t>
  </si>
  <si>
    <t>Mark Hess</t>
  </si>
  <si>
    <t>mhess@hessindltd.com</t>
  </si>
  <si>
    <t>Hess Print Solutions</t>
  </si>
  <si>
    <t>Bryan Porter</t>
  </si>
  <si>
    <t>bryanp@hessprintsolutions.com</t>
  </si>
  <si>
    <t>Hexpol</t>
  </si>
  <si>
    <t>Andy Claytor</t>
  </si>
  <si>
    <t>Andy.Claytor@hexpol.com</t>
  </si>
  <si>
    <t>330-472-8876</t>
  </si>
  <si>
    <t>Jerry Carroll</t>
  </si>
  <si>
    <t>jerry.carroll@hexpol.com</t>
  </si>
  <si>
    <t>615-424-8507</t>
  </si>
  <si>
    <t>Rick Funderburk</t>
  </si>
  <si>
    <t>Ricky.Funderburk@hexpol.com</t>
  </si>
  <si>
    <t>Steve Groff</t>
  </si>
  <si>
    <t>330-834-5538</t>
  </si>
  <si>
    <t>440-834-4644</t>
  </si>
  <si>
    <t>Steve Hersey</t>
  </si>
  <si>
    <t>417-459-3669</t>
  </si>
  <si>
    <t>Trevor Fisher</t>
  </si>
  <si>
    <t>731-445-8367</t>
  </si>
  <si>
    <t>731-287-3354</t>
  </si>
  <si>
    <t>High Tech Mold &amp; Machine, Inc</t>
  </si>
  <si>
    <t>Tony Klisan</t>
  </si>
  <si>
    <t>Tklisan@hightechmold.com</t>
  </si>
  <si>
    <t>330-896-4466</t>
  </si>
  <si>
    <t>Hildebrand Machinery Co</t>
  </si>
  <si>
    <t>Dave Hildebrand</t>
  </si>
  <si>
    <t>dave@hildebrandmachinery.com</t>
  </si>
  <si>
    <t>717-845-9497</t>
  </si>
  <si>
    <t>Hilti North America</t>
  </si>
  <si>
    <t>Greg Braswell</t>
  </si>
  <si>
    <t>gregory.braswell@hilti.com</t>
  </si>
  <si>
    <t>910-818-9657</t>
  </si>
  <si>
    <t>800-879-8000</t>
  </si>
  <si>
    <t>Home Appliance Parts</t>
  </si>
  <si>
    <t>John Rogers</t>
  </si>
  <si>
    <t>330-535-7894</t>
  </si>
  <si>
    <t>Home By Design</t>
  </si>
  <si>
    <t>Steve Donant</t>
  </si>
  <si>
    <t>steve@DraftingResources.com</t>
  </si>
  <si>
    <t>330-309-0074</t>
  </si>
  <si>
    <t>330-267-1341</t>
  </si>
  <si>
    <t>Hoosier Tire &amp; Rubber</t>
  </si>
  <si>
    <t>Joe Sherron</t>
  </si>
  <si>
    <t>jsherron@hoosiertire.com</t>
  </si>
  <si>
    <t>574-936-5810</t>
  </si>
  <si>
    <t>Hwacheon</t>
  </si>
  <si>
    <t>Suzette Suzette</t>
  </si>
  <si>
    <t>HWH Architects Engineers Planners Inc</t>
  </si>
  <si>
    <t>William Stricker</t>
  </si>
  <si>
    <t>wgs@hwhaep.com</t>
  </si>
  <si>
    <t>216-875-4000</t>
  </si>
  <si>
    <t>Hydrotech</t>
  </si>
  <si>
    <t>Dennis Lakarosky</t>
  </si>
  <si>
    <t>dlakarosky@hydrotech.com</t>
  </si>
  <si>
    <t>Hytorc Penn Ohio</t>
  </si>
  <si>
    <t>Charlie Foy</t>
  </si>
  <si>
    <t>chasfoy@att.net</t>
  </si>
  <si>
    <t>412-977-2424</t>
  </si>
  <si>
    <t>724-378-4456</t>
  </si>
  <si>
    <t>Zach Mitrovich</t>
  </si>
  <si>
    <t>Repair@HytorcPennOhio.com</t>
  </si>
  <si>
    <t>724-630-5298</t>
  </si>
  <si>
    <t>IAC Sidney</t>
  </si>
  <si>
    <t>David Toller</t>
  </si>
  <si>
    <t>937-638-0423</t>
  </si>
  <si>
    <t>937-492-1225 x235</t>
  </si>
  <si>
    <t>ICP Adhesives and Sealants</t>
  </si>
  <si>
    <t>Misty Corley</t>
  </si>
  <si>
    <t>mcorley@icpadhesives.com</t>
  </si>
  <si>
    <t>281-350-8888 x1312</t>
  </si>
  <si>
    <t>Ideal Bakery</t>
  </si>
  <si>
    <t>Erik Godar</t>
  </si>
  <si>
    <t>erik@idealbakeryohio.com</t>
  </si>
  <si>
    <t>330-309-5119</t>
  </si>
  <si>
    <t>Ideas Inc.</t>
  </si>
  <si>
    <t>Brad Borne</t>
  </si>
  <si>
    <t>bborne@ideasincweb.com</t>
  </si>
  <si>
    <t>330-896-2300</t>
  </si>
  <si>
    <t>Industrial Assets</t>
  </si>
  <si>
    <t>Rick Kruger</t>
  </si>
  <si>
    <t>rick@iamachinery.com</t>
  </si>
  <si>
    <t>323-587-1887</t>
  </si>
  <si>
    <t>Industrial Furnace Services</t>
  </si>
  <si>
    <t>Jim Jablonowski</t>
  </si>
  <si>
    <t>jim.j@industrialfurnaceservice.com</t>
  </si>
  <si>
    <t>440-310-4272</t>
  </si>
  <si>
    <t>Industrial Machine Transport, Inc</t>
  </si>
  <si>
    <t>Jerry Meadows</t>
  </si>
  <si>
    <t>330-256-0758</t>
  </si>
  <si>
    <t>Industrial Parts and Service</t>
  </si>
  <si>
    <t>Jordan Witt</t>
  </si>
  <si>
    <t>jwitt@industrialpartsandservice.com</t>
  </si>
  <si>
    <t>330-936-5575</t>
  </si>
  <si>
    <t>330-966-5025</t>
  </si>
  <si>
    <t>Industrial Technologies</t>
  </si>
  <si>
    <t>Gregg Caprez</t>
  </si>
  <si>
    <t>gcaprez@industrialtech.info</t>
  </si>
  <si>
    <t>330-310-6521</t>
  </si>
  <si>
    <t>330-434-2033</t>
  </si>
  <si>
    <t>Industrial Tube and Steel Corp</t>
  </si>
  <si>
    <t>John Johnston</t>
  </si>
  <si>
    <t>jjohnston@industrialtube.com</t>
  </si>
  <si>
    <t>330-697-5604</t>
  </si>
  <si>
    <t>330-474-5530</t>
  </si>
  <si>
    <t>Ingalls Process Equipment Co</t>
  </si>
  <si>
    <t>Dick Ingalls</t>
  </si>
  <si>
    <t>dick@ingallsequipment.com</t>
  </si>
  <si>
    <t>440-840-3211</t>
  </si>
  <si>
    <t>440-352-9403</t>
  </si>
  <si>
    <t>Innovative Fluids</t>
  </si>
  <si>
    <t>Todd Bogner</t>
  </si>
  <si>
    <t>tbogner@innovativefluids.com</t>
  </si>
  <si>
    <t>734-344-1585</t>
  </si>
  <si>
    <t>International Paper Company</t>
  </si>
  <si>
    <t>Alan Domes</t>
  </si>
  <si>
    <t>330-626-7300 x307</t>
  </si>
  <si>
    <t>Brent Carey</t>
  </si>
  <si>
    <t>330-626-7300</t>
  </si>
  <si>
    <t>Rick Oberg</t>
  </si>
  <si>
    <t>Stephanie Rasile</t>
  </si>
  <si>
    <t>330-626-7300 x329</t>
  </si>
  <si>
    <t>International Steel &amp; Counterweights</t>
  </si>
  <si>
    <t>Jerry Smith</t>
  </si>
  <si>
    <t>jsmith@steelcounterweights.com</t>
  </si>
  <si>
    <t>330-979-5565</t>
  </si>
  <si>
    <t>Interstate Permit Service</t>
  </si>
  <si>
    <t>Tracy Tracy</t>
  </si>
  <si>
    <t>800-343-4889</t>
  </si>
  <si>
    <t>InteSpec, Inc</t>
  </si>
  <si>
    <t>Chris Clanton</t>
  </si>
  <si>
    <t>cclanton@intespec.com</t>
  </si>
  <si>
    <t>704-483-4646</t>
  </si>
  <si>
    <t>Invista</t>
  </si>
  <si>
    <t>Guards Guards</t>
  </si>
  <si>
    <t>423-875-7211</t>
  </si>
  <si>
    <t>Rodney Skaggs</t>
  </si>
  <si>
    <t>rod.w.skaggs@invista.com</t>
  </si>
  <si>
    <t>423-503-3930</t>
  </si>
  <si>
    <t>423-875-1110</t>
  </si>
  <si>
    <t>423-875-7145</t>
  </si>
  <si>
    <t>J Rayl Transport Quality Logistics</t>
  </si>
  <si>
    <t>Red Negley</t>
  </si>
  <si>
    <t>Red.Negley@jrayl.com</t>
  </si>
  <si>
    <t>330-414-0291</t>
  </si>
  <si>
    <t>330-859-6021</t>
  </si>
  <si>
    <t>J&amp;O Plastics</t>
  </si>
  <si>
    <t>Marc Wyatt</t>
  </si>
  <si>
    <t>mwyatt@jandoplastics.com</t>
  </si>
  <si>
    <t>J.F. Good Industrial Flow Solutions</t>
  </si>
  <si>
    <t>Martin Hyatt</t>
  </si>
  <si>
    <t>mhyatt@jfgood.com</t>
  </si>
  <si>
    <t>330-603-8351</t>
  </si>
  <si>
    <t>330-968-2292</t>
  </si>
  <si>
    <t>Jackie O's Pub &amp; Brewery</t>
  </si>
  <si>
    <t>Brian Cornelius</t>
  </si>
  <si>
    <t>brian@jackieos.com</t>
  </si>
  <si>
    <t>740-541-2746</t>
  </si>
  <si>
    <t>Janco</t>
  </si>
  <si>
    <t>Damola Adenugba</t>
  </si>
  <si>
    <t>damola@jancoengineeredproducts.com</t>
  </si>
  <si>
    <t>574-255-3169</t>
  </si>
  <si>
    <t>Jennings Heating and Cooling</t>
  </si>
  <si>
    <t>mike catalano</t>
  </si>
  <si>
    <t>mikecatalano@jenningsheating.com</t>
  </si>
  <si>
    <t>Jersey Shore Steel Co</t>
  </si>
  <si>
    <t>David Schultz</t>
  </si>
  <si>
    <t>dschultz@jssteel.com</t>
  </si>
  <si>
    <t>570-753-9520</t>
  </si>
  <si>
    <t>John Schultz</t>
  </si>
  <si>
    <t>jschultz@jssteel.com</t>
  </si>
  <si>
    <t>570-753-9510</t>
  </si>
  <si>
    <t>570-753-3000</t>
  </si>
  <si>
    <t>Kevin Mantle</t>
  </si>
  <si>
    <t>kmantle@jssteel.com</t>
  </si>
  <si>
    <t>570-419-4325</t>
  </si>
  <si>
    <t>Steve Barto</t>
  </si>
  <si>
    <t>sbarto@jssteel.com</t>
  </si>
  <si>
    <t>570-753-9521</t>
  </si>
  <si>
    <t>Jimâ€™s Mechanical Service</t>
  </si>
  <si>
    <t>Chas Bridenthal</t>
  </si>
  <si>
    <t>jimsmechanical@gmail.com</t>
  </si>
  <si>
    <t>JJ Bender</t>
  </si>
  <si>
    <t>Bob Kaiser</t>
  </si>
  <si>
    <t>314-210-8227</t>
  </si>
  <si>
    <t>JJB Engineering</t>
  </si>
  <si>
    <t>Ed Sheehan</t>
  </si>
  <si>
    <t>esheehan@jjbengineering.com</t>
  </si>
  <si>
    <t>330-807-0671</t>
  </si>
  <si>
    <t>JM Laser Service Inc</t>
  </si>
  <si>
    <t>Joel Martinez</t>
  </si>
  <si>
    <t>jmlaserservice@gmail.com</t>
  </si>
  <si>
    <t>419-496-1125</t>
  </si>
  <si>
    <t>JMD-Engineering, LLC.</t>
  </si>
  <si>
    <t>Jay Ditsworth</t>
  </si>
  <si>
    <t>sales@jmd-engineering.com</t>
  </si>
  <si>
    <t>469-237-0793</t>
  </si>
  <si>
    <t>JMLORD International LLC</t>
  </si>
  <si>
    <t>Obdulio Mendoza</t>
  </si>
  <si>
    <t>obdulio@jmlordinternational.com</t>
  </si>
  <si>
    <t>281-924-6040</t>
  </si>
  <si>
    <t>Johnsonite-Tarkett</t>
  </si>
  <si>
    <t>Jeff Wells</t>
  </si>
  <si>
    <t>jeff.wells@tarkett.com</t>
  </si>
  <si>
    <t>440-708-8563</t>
  </si>
  <si>
    <t>440-708-9411</t>
  </si>
  <si>
    <t>Steve Metheny</t>
  </si>
  <si>
    <t>steve.metheny@tarkett.com</t>
  </si>
  <si>
    <t>440-708-9410</t>
  </si>
  <si>
    <t>440-543-8916</t>
  </si>
  <si>
    <t>Jomac</t>
  </si>
  <si>
    <t>Rich Jones</t>
  </si>
  <si>
    <t>rjones@jomacltd.com</t>
  </si>
  <si>
    <t>330-428-0069</t>
  </si>
  <si>
    <t>K&amp;B Carpet Cleaning</t>
  </si>
  <si>
    <t>Ken/Brian Kuemerle</t>
  </si>
  <si>
    <t>330-265-3408</t>
  </si>
  <si>
    <t>K.E. Fischer LLC</t>
  </si>
  <si>
    <t>Russell Chennault</t>
  </si>
  <si>
    <t>russ@kefischer.com</t>
  </si>
  <si>
    <t>580-695-7166</t>
  </si>
  <si>
    <t>580-353-2862</t>
  </si>
  <si>
    <t>Keener Rubber</t>
  </si>
  <si>
    <t>Rick unknown</t>
  </si>
  <si>
    <t>330-821-1880</t>
  </si>
  <si>
    <t>Ken - Tool</t>
  </si>
  <si>
    <t>Dan windhorst</t>
  </si>
  <si>
    <t>dwindhorst@kentool.com</t>
  </si>
  <si>
    <t>Kenco Machinery</t>
  </si>
  <si>
    <t>Jay Kaczmarczyk</t>
  </si>
  <si>
    <t>905-565-9414</t>
  </si>
  <si>
    <t>888-791-4294</t>
  </si>
  <si>
    <t>Louis Azzopardi</t>
  </si>
  <si>
    <t>louis@kencomachinerymovers.com</t>
  </si>
  <si>
    <t>Kirk &amp; Blum</t>
  </si>
  <si>
    <t>Chris Farthing</t>
  </si>
  <si>
    <t>859-333-4505</t>
  </si>
  <si>
    <t>859-254-0386</t>
  </si>
  <si>
    <t>Kirk Bros. Co. Inc.</t>
  </si>
  <si>
    <t>Dustin Watkins</t>
  </si>
  <si>
    <t>d.watkins@kirkbros.com</t>
  </si>
  <si>
    <t>567-674-8980</t>
  </si>
  <si>
    <t>Knight Mechanical Services</t>
  </si>
  <si>
    <t>Chris Knight</t>
  </si>
  <si>
    <t>804-833-5729</t>
  </si>
  <si>
    <t>KNL Enviornmental Testing</t>
  </si>
  <si>
    <t>Jim Hayes</t>
  </si>
  <si>
    <t>jhayes@knlenviornmental.com</t>
  </si>
  <si>
    <t>813-334-6801</t>
  </si>
  <si>
    <t>813-229-2879</t>
  </si>
  <si>
    <t>Konecranes, Inc</t>
  </si>
  <si>
    <t>Troy Post</t>
  </si>
  <si>
    <t>937-206-0566</t>
  </si>
  <si>
    <t>Koops Automation Systems</t>
  </si>
  <si>
    <t>Conrad Ferro</t>
  </si>
  <si>
    <t>conrado.c.martinezferro@koops.com</t>
  </si>
  <si>
    <t>864-373-5882</t>
  </si>
  <si>
    <t>Kraft Werks Engineering</t>
  </si>
  <si>
    <t>Jim Cushing</t>
  </si>
  <si>
    <t>jcushing@kraftwerksgroup.com</t>
  </si>
  <si>
    <t>Kydex</t>
  </si>
  <si>
    <t>Michael Miller</t>
  </si>
  <si>
    <t>milerm@kydex.com</t>
  </si>
  <si>
    <t>330-808-1750</t>
  </si>
  <si>
    <t>Kyle Tracy Farms, LLC</t>
  </si>
  <si>
    <t>Kyle Tracy</t>
  </si>
  <si>
    <t>kyletracyfarms@yahoo.com</t>
  </si>
  <si>
    <t>816-536-5858</t>
  </si>
  <si>
    <t>Lauren Mfg</t>
  </si>
  <si>
    <t>Dan Gray</t>
  </si>
  <si>
    <t>dan.gray@lauren.com</t>
  </si>
  <si>
    <t>330-44-3869</t>
  </si>
  <si>
    <t>Kurt Reid</t>
  </si>
  <si>
    <t>kurt.reid@lauren.com</t>
  </si>
  <si>
    <t>330-339-3373</t>
  </si>
  <si>
    <t>Lee Industrial Properties, Inc.</t>
  </si>
  <si>
    <t>Richard Liston</t>
  </si>
  <si>
    <t>330-448-4477</t>
  </si>
  <si>
    <t>Legacy Motors</t>
  </si>
  <si>
    <t>John Czoper</t>
  </si>
  <si>
    <t>czoper005@aol.com</t>
  </si>
  <si>
    <t>330-983-7897</t>
  </si>
  <si>
    <t>330-773-1600</t>
  </si>
  <si>
    <t>Leonardo's Pizza</t>
  </si>
  <si>
    <t>Mike Rotili</t>
  </si>
  <si>
    <t>330-701-7600</t>
  </si>
  <si>
    <t>330-836-7600</t>
  </si>
  <si>
    <t>Leppo Equipment</t>
  </si>
  <si>
    <t>Jeff Ulman</t>
  </si>
  <si>
    <t>jeff@leppos.com</t>
  </si>
  <si>
    <t>330-388-4920</t>
  </si>
  <si>
    <t>330-456-6800</t>
  </si>
  <si>
    <t>Liberty Steel</t>
  </si>
  <si>
    <t>Joe Dubaj</t>
  </si>
  <si>
    <t>Joe.dubaj@libertysteel.com</t>
  </si>
  <si>
    <t>LMT Products</t>
  </si>
  <si>
    <t>Tony Bargides</t>
  </si>
  <si>
    <t>tbargides@lmtproducts.com</t>
  </si>
  <si>
    <t>330-771-0236</t>
  </si>
  <si>
    <t>Logisteed</t>
  </si>
  <si>
    <t>Tsukasa Mashimo</t>
  </si>
  <si>
    <t>ts.mashimo@logisteed-america.com</t>
  </si>
  <si>
    <t>470-445-0782</t>
  </si>
  <si>
    <t>LRM Engineers</t>
  </si>
  <si>
    <t>Stanley Lero</t>
  </si>
  <si>
    <t>s.lero@lrmengineers.com</t>
  </si>
  <si>
    <t>330-607-0632</t>
  </si>
  <si>
    <t>330-928-1126 x20</t>
  </si>
  <si>
    <t>M &amp; M Industries</t>
  </si>
  <si>
    <t>Travis Peacock</t>
  </si>
  <si>
    <t>TPeacock@MMContainer.com</t>
  </si>
  <si>
    <t>423-821-3302</t>
  </si>
  <si>
    <t>M &amp;E machine</t>
  </si>
  <si>
    <t>Mike Lunsford</t>
  </si>
  <si>
    <t>mlunsford3446@icloud.com</t>
  </si>
  <si>
    <t>M&amp;M Construction Supply, Inc</t>
  </si>
  <si>
    <t>Mike Charping</t>
  </si>
  <si>
    <t>256-312-9242</t>
  </si>
  <si>
    <t>256-413-7595</t>
  </si>
  <si>
    <t>M&amp;M Industries</t>
  </si>
  <si>
    <t>Trais Peacock</t>
  </si>
  <si>
    <t>tpeacock@mmcontainer.com</t>
  </si>
  <si>
    <t>423-821-3302 ext 75</t>
  </si>
  <si>
    <t>M. W. Mielke, Inc</t>
  </si>
  <si>
    <t>Tom Jenkins</t>
  </si>
  <si>
    <t>tjenkins@mwmielke.com</t>
  </si>
  <si>
    <t>330-410-5016</t>
  </si>
  <si>
    <t>330-725-8845</t>
  </si>
  <si>
    <t>MAAG Reduction Inc.</t>
  </si>
  <si>
    <t>barritt durbin</t>
  </si>
  <si>
    <t>barritt.durbin@maag.com</t>
  </si>
  <si>
    <t>330-842-1604</t>
  </si>
  <si>
    <t>330-548-9728</t>
  </si>
  <si>
    <t>Mac Trailer</t>
  </si>
  <si>
    <t>Anthony Miller</t>
  </si>
  <si>
    <t>Mach3 Machining</t>
  </si>
  <si>
    <t>Jester Brooks</t>
  </si>
  <si>
    <t>440-274-5854</t>
  </si>
  <si>
    <t>216-278-6497</t>
  </si>
  <si>
    <t>John Jablonski</t>
  </si>
  <si>
    <t>781-821-3482 Ext 8172</t>
  </si>
  <si>
    <t>Machine Products of Fayetteville, Inc</t>
  </si>
  <si>
    <t>Robert Novak</t>
  </si>
  <si>
    <t>rnovak@machineproductsinc.com</t>
  </si>
  <si>
    <t>910-424-3120</t>
  </si>
  <si>
    <t>Mack Concrete</t>
  </si>
  <si>
    <t>Gary Dempsey</t>
  </si>
  <si>
    <t>gdempsey@mackconcrete.com</t>
  </si>
  <si>
    <t>330-350-2984</t>
  </si>
  <si>
    <t>Mactac Americas</t>
  </si>
  <si>
    <t>Scott Moeller</t>
  </si>
  <si>
    <t>samoeller@mactac.com</t>
  </si>
  <si>
    <t>330-607-1478</t>
  </si>
  <si>
    <t>Mactech Industries</t>
  </si>
  <si>
    <t>Linda Urban</t>
  </si>
  <si>
    <t>lurban@mactechonsite.com</t>
  </si>
  <si>
    <t>330-794-5971</t>
  </si>
  <si>
    <t>Madison-Kipp</t>
  </si>
  <si>
    <t>Scott McNeil</t>
  </si>
  <si>
    <t>smcneil@madison-kipp.com</t>
  </si>
  <si>
    <t>608-445-2740</t>
  </si>
  <si>
    <t>Magnetic Springs</t>
  </si>
  <si>
    <t>Michael Allison</t>
  </si>
  <si>
    <t>michael@magneticsprings.com</t>
  </si>
  <si>
    <t>614-421-1780</t>
  </si>
  <si>
    <t>Maniobras de Precision SA DE CV</t>
  </si>
  <si>
    <t>Eleuterio Juarez</t>
  </si>
  <si>
    <t>ventastj2@sermaq.com.mx</t>
  </si>
  <si>
    <t>619-671-9214</t>
  </si>
  <si>
    <t>Manna Pro</t>
  </si>
  <si>
    <t>Mark Lammert</t>
  </si>
  <si>
    <t>Mlammert@mannapro.com</t>
  </si>
  <si>
    <t>770-452-7644</t>
  </si>
  <si>
    <t>Mantaline Corporation</t>
  </si>
  <si>
    <t>Bill Stewart</t>
  </si>
  <si>
    <t>330-274-2264</t>
  </si>
  <si>
    <t>Marlite</t>
  </si>
  <si>
    <t>Derek Hostetter</t>
  </si>
  <si>
    <t>dhostetter@marlite.com</t>
  </si>
  <si>
    <t>330-329-2448</t>
  </si>
  <si>
    <t>330-602-2202</t>
  </si>
  <si>
    <t>Rob Laporte</t>
  </si>
  <si>
    <t>rlaporte@marlite.com</t>
  </si>
  <si>
    <t>330-340-8224</t>
  </si>
  <si>
    <t>330-602-2334</t>
  </si>
  <si>
    <t>Rob Wolfe</t>
  </si>
  <si>
    <t>rwolfe@marlite.com</t>
  </si>
  <si>
    <t>330-260-7607</t>
  </si>
  <si>
    <t>330-602-2250</t>
  </si>
  <si>
    <t>Mars Electric</t>
  </si>
  <si>
    <t>Brian Ford</t>
  </si>
  <si>
    <t>bford@mars-electric.com</t>
  </si>
  <si>
    <t>330-562-2609</t>
  </si>
  <si>
    <t>Masterman's</t>
  </si>
  <si>
    <t>Nancy Gately</t>
  </si>
  <si>
    <t>ngately@mastermans.com</t>
  </si>
  <si>
    <t>800-525-3313 x201</t>
  </si>
  <si>
    <t>Masters Precision Machining Inc</t>
  </si>
  <si>
    <t>Ken Rice</t>
  </si>
  <si>
    <t>Masters Precision Machining, Inc.</t>
  </si>
  <si>
    <t>KRice@MPMachineinc.com</t>
  </si>
  <si>
    <t>Matson Logistics</t>
  </si>
  <si>
    <t>Gary Ondecker</t>
  </si>
  <si>
    <t>gondecker@matson.com</t>
  </si>
  <si>
    <t>330-618-9134</t>
  </si>
  <si>
    <t>330-664-2300 x2310</t>
  </si>
  <si>
    <t>Maxim Crane Work</t>
  </si>
  <si>
    <t>Randy Carson</t>
  </si>
  <si>
    <t>rcarson@maximcrane.com</t>
  </si>
  <si>
    <t>317-902-3310</t>
  </si>
  <si>
    <t>317-244-7801</t>
  </si>
  <si>
    <t>Mazzella Lifting Technologies</t>
  </si>
  <si>
    <t>Nate Fisher</t>
  </si>
  <si>
    <t>nfisher@mazzellacompanies.com</t>
  </si>
  <si>
    <t>216-904-1270</t>
  </si>
  <si>
    <t>440-239-7000 x147</t>
  </si>
  <si>
    <t>MBI Mar-Bal Inc</t>
  </si>
  <si>
    <t>Chuck Berry</t>
  </si>
  <si>
    <t>440-241-4831</t>
  </si>
  <si>
    <t>440-543-7526</t>
  </si>
  <si>
    <t>McCarter Electric</t>
  </si>
  <si>
    <t>Danny Mincey</t>
  </si>
  <si>
    <t>dmincey@mccarterelectric.com</t>
  </si>
  <si>
    <t>910-280-4770</t>
  </si>
  <si>
    <t>910-276-2055</t>
  </si>
  <si>
    <t>McCarthy Tire &amp; Automotive Centers</t>
  </si>
  <si>
    <t>John Jaick</t>
  </si>
  <si>
    <t>jjaick@mccarthytire.com</t>
  </si>
  <si>
    <t>484-629-2589</t>
  </si>
  <si>
    <t>610-837-5280</t>
  </si>
  <si>
    <t>McCune Technology Fayetteville Steel</t>
  </si>
  <si>
    <t>Larry Hunt</t>
  </si>
  <si>
    <t>mccunesteel@yahoo.com</t>
  </si>
  <si>
    <t>910-424-2978</t>
  </si>
  <si>
    <t>McGill Associates</t>
  </si>
  <si>
    <t>Christy</t>
  </si>
  <si>
    <t>828-252-0575</t>
  </si>
  <si>
    <t>McNeil &amp; NRM</t>
  </si>
  <si>
    <t>Adam Bradley</t>
  </si>
  <si>
    <t>abradley@mcneilnrm.com</t>
  </si>
  <si>
    <t>330-622-6212</t>
  </si>
  <si>
    <t>McWhorter Construction, Inc</t>
  </si>
  <si>
    <t>Terry McWhorter</t>
  </si>
  <si>
    <t>terrymcwhorter@bellsouth.net</t>
  </si>
  <si>
    <t>256-441-0079</t>
  </si>
  <si>
    <t>256-442-8589</t>
  </si>
  <si>
    <t>Mega Fluidline Products, Inc</t>
  </si>
  <si>
    <t>Aaron Brant</t>
  </si>
  <si>
    <t>abrant@megafluidline.com</t>
  </si>
  <si>
    <t>330-733-7921</t>
  </si>
  <si>
    <t>Mercer Forge Corp.</t>
  </si>
  <si>
    <t>Randy Walsh</t>
  </si>
  <si>
    <t>Randy.Walsh@neenahenterprises.com</t>
  </si>
  <si>
    <t>724-662-2071</t>
  </si>
  <si>
    <t>Tom Fitzgerald</t>
  </si>
  <si>
    <t>tom.fitzgerald@neenahenterprises.com</t>
  </si>
  <si>
    <t>724-662-2074</t>
  </si>
  <si>
    <t>Mervis Recycling</t>
  </si>
  <si>
    <t>Rachael McClellan</t>
  </si>
  <si>
    <t>rachael@mervis.com</t>
  </si>
  <si>
    <t>317-371-1711</t>
  </si>
  <si>
    <t>Metalico Annaco</t>
  </si>
  <si>
    <t>Kevin Robinson</t>
  </si>
  <si>
    <t>kevin@annaco.com</t>
  </si>
  <si>
    <t>330-592-5456</t>
  </si>
  <si>
    <t>330-376-1400 x108</t>
  </si>
  <si>
    <t>Metals USA</t>
  </si>
  <si>
    <t>Fred Florian</t>
  </si>
  <si>
    <t>fflorian@metalsusa.com</t>
  </si>
  <si>
    <t>215-989-1482</t>
  </si>
  <si>
    <t>800-523-3340</t>
  </si>
  <si>
    <t>Michael Byrne MFG</t>
  </si>
  <si>
    <t>alan smail</t>
  </si>
  <si>
    <t>asmail@byrnegroup.com</t>
  </si>
  <si>
    <t>Midstates Rail LLC</t>
  </si>
  <si>
    <t>Ralph Eide</t>
  </si>
  <si>
    <t>ralph@midstatesrail.com</t>
  </si>
  <si>
    <t>773-849-1007</t>
  </si>
  <si>
    <t>708-758-7245</t>
  </si>
  <si>
    <t>Midwest</t>
  </si>
  <si>
    <t>Pat Fogerty</t>
  </si>
  <si>
    <t>patrickfogarty@sentryfenceinc.com</t>
  </si>
  <si>
    <t>330-280-2288</t>
  </si>
  <si>
    <t>330-376-7097</t>
  </si>
  <si>
    <t>Miedema Asset Management Group</t>
  </si>
  <si>
    <t>Joseph Casaletta</t>
  </si>
  <si>
    <t>joe@orbitbid.com</t>
  </si>
  <si>
    <t>513-802-6375</t>
  </si>
  <si>
    <t>Milark Industries</t>
  </si>
  <si>
    <t>Mark Brideinger</t>
  </si>
  <si>
    <t>Minnich MFG</t>
  </si>
  <si>
    <t>mike cooke</t>
  </si>
  <si>
    <t>Mobile Construction Mechanics</t>
  </si>
  <si>
    <t>Jason Herceg</t>
  </si>
  <si>
    <t>jason@constructionnechanics.com</t>
  </si>
  <si>
    <t>330-715-7302</t>
  </si>
  <si>
    <t>330-630-5895</t>
  </si>
  <si>
    <t>Mold Rite Plastics</t>
  </si>
  <si>
    <t>Bob Rodgers</t>
  </si>
  <si>
    <t>rrodgers@mrpcap.com</t>
  </si>
  <si>
    <t>330-414-5284</t>
  </si>
  <si>
    <t>330-405-7719</t>
  </si>
  <si>
    <t>Mosaic Fertilizer LLC</t>
  </si>
  <si>
    <t>Larry Rials</t>
  </si>
  <si>
    <t>larry.rials@mosaicco.com</t>
  </si>
  <si>
    <t>863-860-1148</t>
  </si>
  <si>
    <t>813-500-6886</t>
  </si>
  <si>
    <t>Mountain Tarp</t>
  </si>
  <si>
    <t>Kim Shaw</t>
  </si>
  <si>
    <t>kshaw@wastequip.com</t>
  </si>
  <si>
    <t>330-442-7277</t>
  </si>
  <si>
    <t>330-325-7722</t>
  </si>
  <si>
    <t>Move some machines at your location in Kent, OH.</t>
  </si>
  <si>
    <t>Dan Scolaro</t>
  </si>
  <si>
    <t>daniel.scolaro@davey.com</t>
  </si>
  <si>
    <t>MS Industrial Corp.</t>
  </si>
  <si>
    <t>Loni Ring</t>
  </si>
  <si>
    <t>lring@msindustrialcorp.com</t>
  </si>
  <si>
    <t>419-203-5616</t>
  </si>
  <si>
    <t>Mt. Carmel Hospital</t>
  </si>
  <si>
    <t>Allan Smith</t>
  </si>
  <si>
    <t>allan.smith@mch.com</t>
  </si>
  <si>
    <t>Greg Kowbasa</t>
  </si>
  <si>
    <t>614-668-7918</t>
  </si>
  <si>
    <t>Mueller Transportation</t>
  </si>
  <si>
    <t>Rebecca Senn</t>
  </si>
  <si>
    <t>rsenn@paulmueller.com</t>
  </si>
  <si>
    <t>417-575-9466</t>
  </si>
  <si>
    <t>Multi Transport Inc</t>
  </si>
  <si>
    <t>Ernest Czier</t>
  </si>
  <si>
    <t>multitrans18@yahoo.com</t>
  </si>
  <si>
    <t>216-283-5300</t>
  </si>
  <si>
    <t>Nabco Electric Co, Inc</t>
  </si>
  <si>
    <t>Curtis Jenkins</t>
  </si>
  <si>
    <t>423-593-1913</t>
  </si>
  <si>
    <t>423-624-0073</t>
  </si>
  <si>
    <t>NAPA Auto Parts</t>
  </si>
  <si>
    <t>Gerald Creighton</t>
  </si>
  <si>
    <t>gecreigtonorlo@gmail.com</t>
  </si>
  <si>
    <t>330-644-2287</t>
  </si>
  <si>
    <t>National Lumber</t>
  </si>
  <si>
    <t>Dan Lumber</t>
  </si>
  <si>
    <t>724-518-0689</t>
  </si>
  <si>
    <t>National Salvage &amp; Service Corporation</t>
  </si>
  <si>
    <t>Garrett Schopp</t>
  </si>
  <si>
    <t>812-331-8235</t>
  </si>
  <si>
    <t>Jeff Franklin</t>
  </si>
  <si>
    <t>jeffrey.franklin@nssccorp.com</t>
  </si>
  <si>
    <t>812-325-3488</t>
  </si>
  <si>
    <t>812-339-9000</t>
  </si>
  <si>
    <t>Negri Bossi North America</t>
  </si>
  <si>
    <t>Steve Wolf</t>
  </si>
  <si>
    <t>steve.wolf@negribossi.us</t>
  </si>
  <si>
    <t>Neidert Fabricating, Inc.</t>
  </si>
  <si>
    <t>Paul Neidert</t>
  </si>
  <si>
    <t>paul@neidertfabricating.com</t>
  </si>
  <si>
    <t>330-322-9782</t>
  </si>
  <si>
    <t>Nelson Trucking Co.</t>
  </si>
  <si>
    <t>Charlie Nelson</t>
  </si>
  <si>
    <t>nelsontrkg@aol.com</t>
  </si>
  <si>
    <t>513-490-2135</t>
  </si>
  <si>
    <t>New Concept Logistics</t>
  </si>
  <si>
    <t>Christine Barber</t>
  </si>
  <si>
    <t>615-452-7651</t>
  </si>
  <si>
    <t>Nidec Drive Systems</t>
  </si>
  <si>
    <t>Greg Lamson</t>
  </si>
  <si>
    <t>Greg.lamson@nidec-ise.com</t>
  </si>
  <si>
    <t>330-815-4817</t>
  </si>
  <si>
    <t>Joe Boone</t>
  </si>
  <si>
    <t>Nidec Minster Machine</t>
  </si>
  <si>
    <t>330-876-4511 Ext. 1202</t>
  </si>
  <si>
    <t>NMG Aerospace</t>
  </si>
  <si>
    <t>Brion Jursik</t>
  </si>
  <si>
    <t>bjursik@nmgaerospace.com</t>
  </si>
  <si>
    <t>Noble Tech Inc</t>
  </si>
  <si>
    <t>Chris Sturt</t>
  </si>
  <si>
    <t>chris.sturt@nobleincor.com</t>
  </si>
  <si>
    <t>705-748-1011</t>
  </si>
  <si>
    <t>Norstar Aluminum Molds</t>
  </si>
  <si>
    <t>Carolyn Knepp</t>
  </si>
  <si>
    <t>cknepp@norstarmolds.com</t>
  </si>
  <si>
    <t>440-632-0852</t>
  </si>
  <si>
    <t>North American Metallurgic</t>
  </si>
  <si>
    <t>James Gardner</t>
  </si>
  <si>
    <t>james@nametal.com</t>
  </si>
  <si>
    <t>631-459-9599</t>
  </si>
  <si>
    <t>Northern Mobile Electric</t>
  </si>
  <si>
    <t>Charlie Cole</t>
  </si>
  <si>
    <t>NorthernMobile.Charlie@Gmail.com</t>
  </si>
  <si>
    <t>330-324-2510</t>
  </si>
  <si>
    <t>330-477-9009</t>
  </si>
  <si>
    <t>Nova Chemicals</t>
  </si>
  <si>
    <t>snyderka@novachem.com</t>
  </si>
  <si>
    <t>440-477-3885</t>
  </si>
  <si>
    <t>440-354-7138</t>
  </si>
  <si>
    <t>Tyler Hoover</t>
  </si>
  <si>
    <t>tyler.hoover@novachem.com</t>
  </si>
  <si>
    <t>440-417-4591</t>
  </si>
  <si>
    <t>440-354-7140</t>
  </si>
  <si>
    <t>Novex</t>
  </si>
  <si>
    <t>Chuck Lynn</t>
  </si>
  <si>
    <t>chuck@novitane.com</t>
  </si>
  <si>
    <t>330-701-6146</t>
  </si>
  <si>
    <t>Nutis Visual Communications Group</t>
  </si>
  <si>
    <t>Steve Spain</t>
  </si>
  <si>
    <t>steve.spain@nutis.com</t>
  </si>
  <si>
    <t>614-237-8626</t>
  </si>
  <si>
    <t>O'Brien Construction, Inc.</t>
  </si>
  <si>
    <t>Dustin Phelps</t>
  </si>
  <si>
    <t>dphelps@ocincnet.com</t>
  </si>
  <si>
    <t>440-336-3293</t>
  </si>
  <si>
    <t>440-519-9891</t>
  </si>
  <si>
    <t>Odom Engineering</t>
  </si>
  <si>
    <t>Michael Sprouse</t>
  </si>
  <si>
    <t>michael@odomengineering.com</t>
  </si>
  <si>
    <t>828-223-5337</t>
  </si>
  <si>
    <t>828-247-4495</t>
  </si>
  <si>
    <t>Ohio Lift Truck</t>
  </si>
  <si>
    <t>ddye@ohiolift.com</t>
  </si>
  <si>
    <t>440-354-1444</t>
  </si>
  <si>
    <t>Joshua Cochran</t>
  </si>
  <si>
    <t>jcochran@ohiolift.com</t>
  </si>
  <si>
    <t>Old Castle</t>
  </si>
  <si>
    <t>Omneity Innovations</t>
  </si>
  <si>
    <t>Michael Swope</t>
  </si>
  <si>
    <t>michael.swope@omneity.us</t>
  </si>
  <si>
    <t>330-826-1966</t>
  </si>
  <si>
    <t>Omni Die Casting Inc.</t>
  </si>
  <si>
    <t>Tim Lidderale</t>
  </si>
  <si>
    <t>timlidderdale@omnidiecasting.com</t>
  </si>
  <si>
    <t>OmniSource</t>
  </si>
  <si>
    <t>Mike Murray</t>
  </si>
  <si>
    <t>mmurray@omnisource.com</t>
  </si>
  <si>
    <t>765-610-6006</t>
  </si>
  <si>
    <t>317-381-5804</t>
  </si>
  <si>
    <t>Omnova (corporate)</t>
  </si>
  <si>
    <t>Douglas Fox</t>
  </si>
  <si>
    <t>doug.fox@omnova.com</t>
  </si>
  <si>
    <t>330-338-3515</t>
  </si>
  <si>
    <t>216-682-7190</t>
  </si>
  <si>
    <t>Omnova Solutions Inc</t>
  </si>
  <si>
    <t>Andy Burger</t>
  </si>
  <si>
    <t>michael.martin@omnova.com</t>
  </si>
  <si>
    <t>330-628-6417</t>
  </si>
  <si>
    <t>Cliff Haynes</t>
  </si>
  <si>
    <t>cliff.haynes@omnova.com</t>
  </si>
  <si>
    <t>570-366-4016</t>
  </si>
  <si>
    <t>Dave Tomey</t>
  </si>
  <si>
    <t>david.tomey@omnova.com</t>
  </si>
  <si>
    <t>484-955-6759</t>
  </si>
  <si>
    <t>570-366-4047</t>
  </si>
  <si>
    <t>John Pedro</t>
  </si>
  <si>
    <t>john.pedro@omnova.com</t>
  </si>
  <si>
    <t>330-734-1239</t>
  </si>
  <si>
    <t>Michael Babcock</t>
  </si>
  <si>
    <t>michael.babcock@omnova.com</t>
  </si>
  <si>
    <t>484-919-3328</t>
  </si>
  <si>
    <t>570-366-4065</t>
  </si>
  <si>
    <t>Woody Khoury</t>
  </si>
  <si>
    <t>woody.khoury@omnova.com</t>
  </si>
  <si>
    <t>330-734-1242</t>
  </si>
  <si>
    <t>Orion</t>
  </si>
  <si>
    <t>Jack Keefer</t>
  </si>
  <si>
    <t>jkeefer@omnifastners.com</t>
  </si>
  <si>
    <t>216-789-3454</t>
  </si>
  <si>
    <t>Orrvilon</t>
  </si>
  <si>
    <t>Ed Highben</t>
  </si>
  <si>
    <t>330-684-9400</t>
  </si>
  <si>
    <t>John Ferguson</t>
  </si>
  <si>
    <t>jferguson@orrvilon.com</t>
  </si>
  <si>
    <t>330-717-1225</t>
  </si>
  <si>
    <t>Mike Joyce</t>
  </si>
  <si>
    <t>m.joyce@orrvilon.com</t>
  </si>
  <si>
    <t>Orrvilon Inc.</t>
  </si>
  <si>
    <t>Eric Keplar</t>
  </si>
  <si>
    <t>E.Keplar@orrvilon.com</t>
  </si>
  <si>
    <t>609-781-3007</t>
  </si>
  <si>
    <t>330-684-9431</t>
  </si>
  <si>
    <t>Packsize International</t>
  </si>
  <si>
    <t>Kyle Barganier</t>
  </si>
  <si>
    <t>kyle.barganier@packsize.com</t>
  </si>
  <si>
    <t>813-399-0828</t>
  </si>
  <si>
    <t>Paisano Dimensional Control</t>
  </si>
  <si>
    <t>Austin Blaney</t>
  </si>
  <si>
    <t>austin@paisanodc.com</t>
  </si>
  <si>
    <t>830-876-6706</t>
  </si>
  <si>
    <t>Paladin-Stanley Black and Decker</t>
  </si>
  <si>
    <t>Edward Roma</t>
  </si>
  <si>
    <t>Edward.roma@sbdinc.com</t>
  </si>
  <si>
    <t>484-226-9256</t>
  </si>
  <si>
    <t>Peaceful Fruits</t>
  </si>
  <si>
    <t>Evan Delahanty</t>
  </si>
  <si>
    <t>evan@peacefulfruits.com</t>
  </si>
  <si>
    <t>330-356-8515</t>
  </si>
  <si>
    <t>Peak Machinery Equipment</t>
  </si>
  <si>
    <t>Rita Elias</t>
  </si>
  <si>
    <t>rita.elias@peakmachinerysales.com</t>
  </si>
  <si>
    <t>951-416-1047</t>
  </si>
  <si>
    <t>Peanut Butter Cups Company</t>
  </si>
  <si>
    <t>Jennifer Falb</t>
  </si>
  <si>
    <t>Info@pnutbuttercups.com</t>
  </si>
  <si>
    <t>330-219-9889</t>
  </si>
  <si>
    <t>Penhall Co</t>
  </si>
  <si>
    <t>Johnny Tew</t>
  </si>
  <si>
    <t>jtew@penhall.com</t>
  </si>
  <si>
    <t>919-422-9805</t>
  </si>
  <si>
    <t>919-859-9911</t>
  </si>
  <si>
    <t>Penn Tool Sales &amp; Service, Inc</t>
  </si>
  <si>
    <t>Mike McMahon</t>
  </si>
  <si>
    <t>penntool9@bellsouth.net</t>
  </si>
  <si>
    <t>336-602-6285</t>
  </si>
  <si>
    <t>800-958-5915</t>
  </si>
  <si>
    <t>Pentair</t>
  </si>
  <si>
    <t>Ben Roesler</t>
  </si>
  <si>
    <t>Ben Roessler</t>
  </si>
  <si>
    <t>ben.roessler@pentair.com</t>
  </si>
  <si>
    <t>440-226-9304</t>
  </si>
  <si>
    <t>Ed Mulacek</t>
  </si>
  <si>
    <t>216-347-0683</t>
  </si>
  <si>
    <t>440-279-2665</t>
  </si>
  <si>
    <t>ed.mulacek@pentair.com</t>
  </si>
  <si>
    <t>Terry Croyle</t>
  </si>
  <si>
    <t>terry.croyle@pentair.com</t>
  </si>
  <si>
    <t>Piedmont Precision Machine Co</t>
  </si>
  <si>
    <t>Ed Pratt</t>
  </si>
  <si>
    <t>epratt@ppmmach.com</t>
  </si>
  <si>
    <t>434-203-1212</t>
  </si>
  <si>
    <t>434-793-0677</t>
  </si>
  <si>
    <t>Pilot Plastics</t>
  </si>
  <si>
    <t>Mick Jedrisak</t>
  </si>
  <si>
    <t>216-386-2179</t>
  </si>
  <si>
    <t>Ted Jendrisak</t>
  </si>
  <si>
    <t>tedj@pilotplastics.com</t>
  </si>
  <si>
    <t>330-920-9672</t>
  </si>
  <si>
    <t>Player Wheel Group</t>
  </si>
  <si>
    <t>Jerry Hockenberry</t>
  </si>
  <si>
    <t>JerryH@Playerwirewheel.com</t>
  </si>
  <si>
    <t>330-799-9344</t>
  </si>
  <si>
    <t>PMI Industries Inc</t>
  </si>
  <si>
    <t>James Boone</t>
  </si>
  <si>
    <t>jboone@pmiind.com</t>
  </si>
  <si>
    <t>216-346-2093</t>
  </si>
  <si>
    <t>Polymer Processing Machinery Services, LLC</t>
  </si>
  <si>
    <t>Bob Lindsay</t>
  </si>
  <si>
    <t>boblindsay111@polymermachineryservices.com</t>
  </si>
  <si>
    <t>860-796-4772</t>
  </si>
  <si>
    <t>Polymer Shapes</t>
  </si>
  <si>
    <t>Mike Miller</t>
  </si>
  <si>
    <t>mmiller@polymershapes.com</t>
  </si>
  <si>
    <t>216-749-6770</t>
  </si>
  <si>
    <t>Polymer Technologies &amp; Services</t>
  </si>
  <si>
    <t>Ed Melanson</t>
  </si>
  <si>
    <t>ed@polymertechnologiesinc.com</t>
  </si>
  <si>
    <t>330-261-4160</t>
  </si>
  <si>
    <t>Polymet Recovery LLC</t>
  </si>
  <si>
    <t>Sonny Marcum</t>
  </si>
  <si>
    <t>sonny@polymetrecovery.com</t>
  </si>
  <si>
    <t>330-466-8231</t>
  </si>
  <si>
    <t>330-630-9006</t>
  </si>
  <si>
    <t>Poppee's Popcorn</t>
  </si>
  <si>
    <t>Jay McGuire</t>
  </si>
  <si>
    <t>jaymcguire@icloud.com</t>
  </si>
  <si>
    <t>216-280-1128</t>
  </si>
  <si>
    <t>440-327-0775</t>
  </si>
  <si>
    <t>Portage Packaging Systems</t>
  </si>
  <si>
    <t>John Taucher</t>
  </si>
  <si>
    <t>john@portagesystems.com</t>
  </si>
  <si>
    <t>Potesta &amp; Company LLC</t>
  </si>
  <si>
    <t>Rich Potesta</t>
  </si>
  <si>
    <t>richard.potesta@slewpro.com</t>
  </si>
  <si>
    <t>330-962-8160</t>
  </si>
  <si>
    <t>330-633-7735</t>
  </si>
  <si>
    <t>Powell Electrical</t>
  </si>
  <si>
    <t>330-581-0226</t>
  </si>
  <si>
    <t>PPG Industries</t>
  </si>
  <si>
    <t>Dave Lehman</t>
  </si>
  <si>
    <t>330-419-9656</t>
  </si>
  <si>
    <t>330-825-1200</t>
  </si>
  <si>
    <t>Ross Posey</t>
  </si>
  <si>
    <t>rposey@ppg.com</t>
  </si>
  <si>
    <t>330-352-0496</t>
  </si>
  <si>
    <t>Premier Logistics &amp; Transportation Inc</t>
  </si>
  <si>
    <t>Jeffrey Welch</t>
  </si>
  <si>
    <t>jwelch7168@aol.com</t>
  </si>
  <si>
    <t>330-607-4220</t>
  </si>
  <si>
    <t>Preston Refrigeration</t>
  </si>
  <si>
    <t>Francis Knorr</t>
  </si>
  <si>
    <t>fknorr@prestonrefrigeration.com</t>
  </si>
  <si>
    <t>330-361-1100</t>
  </si>
  <si>
    <t>Process Plus</t>
  </si>
  <si>
    <t>Roy Spreng</t>
  </si>
  <si>
    <t>rspeng@plusgroups.com</t>
  </si>
  <si>
    <t>440-971-5000</t>
  </si>
  <si>
    <t>Proshort Stamping Services</t>
  </si>
  <si>
    <t>Doug Ihrig</t>
  </si>
  <si>
    <t>ihrigdoug@gmail.com</t>
  </si>
  <si>
    <t>440-870-1104</t>
  </si>
  <si>
    <t>Protech Powder Coatings Inc</t>
  </si>
  <si>
    <t>Ameet Bathiya</t>
  </si>
  <si>
    <t>abathiya@protechpowder.com</t>
  </si>
  <si>
    <t>216-618-5243</t>
  </si>
  <si>
    <t>216-631-2002 x606</t>
  </si>
  <si>
    <t>Michael Todia</t>
  </si>
  <si>
    <t>mtodia@protechpowder.com</t>
  </si>
  <si>
    <t>216-372-5090</t>
  </si>
  <si>
    <t>216-631-2002 x601</t>
  </si>
  <si>
    <t>ProtectaPlas</t>
  </si>
  <si>
    <t>Trevor P</t>
  </si>
  <si>
    <t>440-667-2701</t>
  </si>
  <si>
    <t>PSC Metals, Inc</t>
  </si>
  <si>
    <t>Ross Stineman</t>
  </si>
  <si>
    <t>rstineman@pscmetals.com</t>
  </si>
  <si>
    <t>330-510-0842</t>
  </si>
  <si>
    <t>330-745-4437</t>
  </si>
  <si>
    <t>PTC Steel</t>
  </si>
  <si>
    <t>Edward Deutsch</t>
  </si>
  <si>
    <t>edward.deutsch@ptcsteel.com</t>
  </si>
  <si>
    <t>484-433-3347</t>
  </si>
  <si>
    <t>Qcells</t>
  </si>
  <si>
    <t>Brandon Rickert</t>
  </si>
  <si>
    <t>Brandon.rickert@qcells.com</t>
  </si>
  <si>
    <t>Quality Blow Molding, Inc</t>
  </si>
  <si>
    <t>Ron Matcham</t>
  </si>
  <si>
    <t>qbminc@windstream.net</t>
  </si>
  <si>
    <t>440-458-6550</t>
  </si>
  <si>
    <t>Quality Mold</t>
  </si>
  <si>
    <t>AJ Minton</t>
  </si>
  <si>
    <t>aminton@qualitymold.us</t>
  </si>
  <si>
    <t>330-958-2495</t>
  </si>
  <si>
    <t>330-645-4921</t>
  </si>
  <si>
    <t>Artur Musaelyan</t>
  </si>
  <si>
    <t>amusaelyan@qualitymold.com</t>
  </si>
  <si>
    <t>330-645-6653 x4913</t>
  </si>
  <si>
    <t>Quality Quartz Engineering</t>
  </si>
  <si>
    <t>Michael Michalec</t>
  </si>
  <si>
    <t>mmichalec@qqe.com</t>
  </si>
  <si>
    <t>Quanex</t>
  </si>
  <si>
    <t>Roger Lewicki</t>
  </si>
  <si>
    <t>roger.lewicki@quanex.com</t>
  </si>
  <si>
    <t>216-233-2593</t>
  </si>
  <si>
    <t>216-910-1568</t>
  </si>
  <si>
    <t>Quickway Rigging / Simply Color</t>
  </si>
  <si>
    <t>Bob Holt</t>
  </si>
  <si>
    <t>R.C.A. Rubber</t>
  </si>
  <si>
    <t>Marco Sandefur</t>
  </si>
  <si>
    <t>sandefurm@rcarubber.com</t>
  </si>
  <si>
    <t>330-784-1291 x251</t>
  </si>
  <si>
    <t>R.C.M.P. inc</t>
  </si>
  <si>
    <t>Adam Pielet</t>
  </si>
  <si>
    <t>adampielet@aol.com</t>
  </si>
  <si>
    <t>630-207-5100</t>
  </si>
  <si>
    <t>Raintree Golf Course</t>
  </si>
  <si>
    <t>John Ranieri</t>
  </si>
  <si>
    <t>330-699-3232</t>
  </si>
  <si>
    <t>Raleigh-Durham Rubber &amp; Gasket Co</t>
  </si>
  <si>
    <t>Jimmy Hooks</t>
  </si>
  <si>
    <t>jimmyh@raleighdurhamrubber.com</t>
  </si>
  <si>
    <t>910-624-6601</t>
  </si>
  <si>
    <t>910-486-0001</t>
  </si>
  <si>
    <t>Razor Edge</t>
  </si>
  <si>
    <t>Noah Yeater</t>
  </si>
  <si>
    <t>sales@razoredgeprecisiongrinding.com</t>
  </si>
  <si>
    <t>RBB Systems</t>
  </si>
  <si>
    <t>Thomas Garthwaite</t>
  </si>
  <si>
    <t>tgarthwaite@rbbsystems.com</t>
  </si>
  <si>
    <t>240-551-9120</t>
  </si>
  <si>
    <t>RD Machines-Outils</t>
  </si>
  <si>
    <t>Franck Deletraz</t>
  </si>
  <si>
    <t>franck@rdmo.com</t>
  </si>
  <si>
    <t>33 0 6 09 52 28 44</t>
  </si>
  <si>
    <t>Recycling Coordinators</t>
  </si>
  <si>
    <t>Sean Harris</t>
  </si>
  <si>
    <t>sean.harris@recyclingcoordinators.com</t>
  </si>
  <si>
    <t>330-434-4500</t>
  </si>
  <si>
    <t>Red Rabbit Consultants, LLC</t>
  </si>
  <si>
    <t>Greg Rogers</t>
  </si>
  <si>
    <t>drfinancialrogers@gmail.com</t>
  </si>
  <si>
    <t>702-303-3946</t>
  </si>
  <si>
    <t>Redwood Multimodal</t>
  </si>
  <si>
    <t>Adam Parsill</t>
  </si>
  <si>
    <t>aparsill@redwoodlogistics.com</t>
  </si>
  <si>
    <t>847-989-2064</t>
  </si>
  <si>
    <t>Rempel Roto Cast</t>
  </si>
  <si>
    <t>Chuck Leonhard</t>
  </si>
  <si>
    <t>chuckleonard@gmail.com</t>
  </si>
  <si>
    <t>662-295-5818</t>
  </si>
  <si>
    <t>Republic Short Line</t>
  </si>
  <si>
    <t>Garret Kloots</t>
  </si>
  <si>
    <t>garret@rslrail.com</t>
  </si>
  <si>
    <t>330-495-5246</t>
  </si>
  <si>
    <t>330-493-3377</t>
  </si>
  <si>
    <t>Reserve Alloys</t>
  </si>
  <si>
    <t>Gene Farrell</t>
  </si>
  <si>
    <t>216-906-4157</t>
  </si>
  <si>
    <t>Jeff Milhoan</t>
  </si>
  <si>
    <t>jeffmilhoan@reserve-group.com</t>
  </si>
  <si>
    <t>440-394-4850</t>
  </si>
  <si>
    <t>Tony Zola</t>
  </si>
  <si>
    <t>tony.zola@reserve-alloys.com</t>
  </si>
  <si>
    <t>Revelation Auction (General Steel auction)</t>
  </si>
  <si>
    <t>Colby McIntyre</t>
  </si>
  <si>
    <t>colby@revelationauction.com</t>
  </si>
  <si>
    <t>504-352-8363</t>
  </si>
  <si>
    <t>RG Drage Vocational Careers</t>
  </si>
  <si>
    <t>mike reymond</t>
  </si>
  <si>
    <t>michael.reymond@rgdrage.org</t>
  </si>
  <si>
    <t>RG Smith Company</t>
  </si>
  <si>
    <t>Thad Rusmisel</t>
  </si>
  <si>
    <t>trusmisel@rgscontractors.com</t>
  </si>
  <si>
    <t>330-418-8277</t>
  </si>
  <si>
    <t>330-456-3415</t>
  </si>
  <si>
    <t>RHI Magnestia</t>
  </si>
  <si>
    <t>Matthew Movauy</t>
  </si>
  <si>
    <t>matthew.movauy@rhimagnestia.com</t>
  </si>
  <si>
    <t>419-602-9634</t>
  </si>
  <si>
    <t>Rhinestahl AMG Auction</t>
  </si>
  <si>
    <t>Kevin Jansen</t>
  </si>
  <si>
    <t>kevin.jansen@rhaero.com</t>
  </si>
  <si>
    <t>513-315-6069</t>
  </si>
  <si>
    <t>Riggs Machining</t>
  </si>
  <si>
    <t>Bert Riggs</t>
  </si>
  <si>
    <t>briggs@riggsmachine.com</t>
  </si>
  <si>
    <t>800-201-3445</t>
  </si>
  <si>
    <t>Rivercor</t>
  </si>
  <si>
    <t>Rick Gaug</t>
  </si>
  <si>
    <t>rick@rivercor.cc</t>
  </si>
  <si>
    <t>330-352-2052</t>
  </si>
  <si>
    <t>River Cor</t>
  </si>
  <si>
    <t>Rocket Machining &amp; Design</t>
  </si>
  <si>
    <t>Duane Spurling</t>
  </si>
  <si>
    <t>duane@rocketmachiningdesign.com</t>
  </si>
  <si>
    <t>269-580-9969</t>
  </si>
  <si>
    <t>Rossi Machinery</t>
  </si>
  <si>
    <t>Mike Rossi</t>
  </si>
  <si>
    <t>mrossi@rmscn.com</t>
  </si>
  <si>
    <t>RSL-Novatech</t>
  </si>
  <si>
    <t>Ray Delpuppo</t>
  </si>
  <si>
    <t>rayd@rslinc.com</t>
  </si>
  <si>
    <t>RSM US LLP</t>
  </si>
  <si>
    <t>Eric Levenhagen</t>
  </si>
  <si>
    <t>eric.levenhagen@rsmus.com</t>
  </si>
  <si>
    <t>317-805-6242</t>
  </si>
  <si>
    <t>S and S Salvage Inc</t>
  </si>
  <si>
    <t>Jason Silveus</t>
  </si>
  <si>
    <t>330-592-3240</t>
  </si>
  <si>
    <t>330-673-2454</t>
  </si>
  <si>
    <t>S. Slesnick Co.</t>
  </si>
  <si>
    <t>Scott Slesnick</t>
  </si>
  <si>
    <t>scott@slesnick.com</t>
  </si>
  <si>
    <t>330-454-5101</t>
  </si>
  <si>
    <t>Safety-Box Corporation</t>
  </si>
  <si>
    <t>David Loveman</t>
  </si>
  <si>
    <t>David@saftey-box.com</t>
  </si>
  <si>
    <t>216-272-4422</t>
  </si>
  <si>
    <t>440-232-6200</t>
  </si>
  <si>
    <t>Leslie Bromund</t>
  </si>
  <si>
    <t>leslie@safety-box.com</t>
  </si>
  <si>
    <t>440-232-6200 x117</t>
  </si>
  <si>
    <t>Sams Commercial Painting</t>
  </si>
  <si>
    <t>Curtis Poling</t>
  </si>
  <si>
    <t>614-290-2268/</t>
  </si>
  <si>
    <t>Sanjan Inc</t>
  </si>
  <si>
    <t>Suzette Hamlin</t>
  </si>
  <si>
    <t>sanjan@rtecexpress.net</t>
  </si>
  <si>
    <t>419-467-0103</t>
  </si>
  <si>
    <t>419-267-3323</t>
  </si>
  <si>
    <t>SB Machine Tools</t>
  </si>
  <si>
    <t>Masato Yoshida</t>
  </si>
  <si>
    <t>myoshida@nssb-us.com</t>
  </si>
  <si>
    <t>847-220-1589</t>
  </si>
  <si>
    <t>224-698-2035</t>
  </si>
  <si>
    <t>Schweiger Construction</t>
  </si>
  <si>
    <t>Daren Smith</t>
  </si>
  <si>
    <t>dsmith@schweigercc.com</t>
  </si>
  <si>
    <t>816-908-2659</t>
  </si>
  <si>
    <t>Scrapcom</t>
  </si>
  <si>
    <t>Harold DeStefanis</t>
  </si>
  <si>
    <t>hdestef@scrapcom.net</t>
  </si>
  <si>
    <t>216-823-4151</t>
  </si>
  <si>
    <t>Pete Karakis</t>
  </si>
  <si>
    <t>pkarakis@scrapcom.net</t>
  </si>
  <si>
    <t>330-289-1699</t>
  </si>
  <si>
    <t>SGM Magnetics Corporation</t>
  </si>
  <si>
    <t>Mickey Erdos</t>
  </si>
  <si>
    <t>Mick@sgmmagnets.com</t>
  </si>
  <si>
    <t>330-241-3552</t>
  </si>
  <si>
    <t>941-342-8800</t>
  </si>
  <si>
    <t>SGS Tool</t>
  </si>
  <si>
    <t>Tom Haig</t>
  </si>
  <si>
    <t>webmaster@sgstool.com</t>
  </si>
  <si>
    <t>330-688-6667</t>
  </si>
  <si>
    <t>Shanghai C &amp; U Bearings Co</t>
  </si>
  <si>
    <t>Betty Wang</t>
  </si>
  <si>
    <t>263141285@qq.com</t>
  </si>
  <si>
    <t>86-186-2103-7288</t>
  </si>
  <si>
    <t>Shearer's Foods</t>
  </si>
  <si>
    <t>Jeremy Fowler</t>
  </si>
  <si>
    <t>(330) 767-3426 ext. 7135</t>
  </si>
  <si>
    <t>Shiloh Industries</t>
  </si>
  <si>
    <t>Dan Statler</t>
  </si>
  <si>
    <t>dan.stalter@shiloh.com</t>
  </si>
  <si>
    <t>440-227-1846</t>
  </si>
  <si>
    <t>Flo Cunningham</t>
  </si>
  <si>
    <t>flo.cunningham@shiloh.com</t>
  </si>
  <si>
    <t>419-957-1968</t>
  </si>
  <si>
    <t>734-738-1353</t>
  </si>
  <si>
    <t>Jim Evangelista</t>
  </si>
  <si>
    <t>jim.evangelista@shiloh.com</t>
  </si>
  <si>
    <t>248-974-6755</t>
  </si>
  <si>
    <t>734-738-1300</t>
  </si>
  <si>
    <t>ShurTech Brands</t>
  </si>
  <si>
    <t>George Stamatoukos</t>
  </si>
  <si>
    <t>gstamatoukos@shurtape.com</t>
  </si>
  <si>
    <t>828-312-4816</t>
  </si>
  <si>
    <t>828-267-8172</t>
  </si>
  <si>
    <t>828-312-8967</t>
  </si>
  <si>
    <t>828-867-8104</t>
  </si>
  <si>
    <t>Kerry Barlow</t>
  </si>
  <si>
    <t>kbarlow@shurtape.com</t>
  </si>
  <si>
    <t>828-312-4817</t>
  </si>
  <si>
    <t>828-267-8493</t>
  </si>
  <si>
    <t>Tim Sas</t>
  </si>
  <si>
    <t>tsas@shurtech.com</t>
  </si>
  <si>
    <t>440-937-7000</t>
  </si>
  <si>
    <t>Siemens Energy &amp; Automation, Inc</t>
  </si>
  <si>
    <t>Michael Rathbun</t>
  </si>
  <si>
    <t>michael.rathbun@siemens.com</t>
  </si>
  <si>
    <t>770-366-4349</t>
  </si>
  <si>
    <t>910-488-9295 x5373</t>
  </si>
  <si>
    <t>Silberline Manufacturing</t>
  </si>
  <si>
    <t>Chris Gross</t>
  </si>
  <si>
    <t>Chris.gross@silberline.com</t>
  </si>
  <si>
    <t>260-728-2111</t>
  </si>
  <si>
    <t>Silcotec - Advanced Dispersions</t>
  </si>
  <si>
    <t>Jason Lepper</t>
  </si>
  <si>
    <t>jason.lepper@polyone.com</t>
  </si>
  <si>
    <t>314-972-3288</t>
  </si>
  <si>
    <t>866-737-2066</t>
  </si>
  <si>
    <t>Sima Form</t>
  </si>
  <si>
    <t>Shannon Major</t>
  </si>
  <si>
    <t>shannon@simaform-us.com</t>
  </si>
  <si>
    <t>330-760-3477</t>
  </si>
  <si>
    <t>Simpson Strong-Tie Anchor Systems</t>
  </si>
  <si>
    <t>Robert Lawther</t>
  </si>
  <si>
    <t>rlawther@strongtie.com</t>
  </si>
  <si>
    <t>404-969-7634</t>
  </si>
  <si>
    <t>800-777-5099 x3122</t>
  </si>
  <si>
    <t>Sims Metal Management</t>
  </si>
  <si>
    <t>Gwen Boughton</t>
  </si>
  <si>
    <t>gwen.boughton@simsmm.com</t>
  </si>
  <si>
    <t>419-392-5738</t>
  </si>
  <si>
    <t>419-956-5010</t>
  </si>
  <si>
    <t>Skyline Freight</t>
  </si>
  <si>
    <t>Jeff Katz</t>
  </si>
  <si>
    <t>jkatz@skylinefreight.com</t>
  </si>
  <si>
    <t>718-995-2900</t>
  </si>
  <si>
    <t>Slesnick Steel</t>
  </si>
  <si>
    <t>Andrew Slesnick</t>
  </si>
  <si>
    <t>andrew@slesnicksteel.com</t>
  </si>
  <si>
    <t>330-353-2098</t>
  </si>
  <si>
    <t>330-453-8475</t>
  </si>
  <si>
    <t>SLS Machining Group</t>
  </si>
  <si>
    <t>Luke Mitchell</t>
  </si>
  <si>
    <t>330-472-8076</t>
  </si>
  <si>
    <t>Smucker's</t>
  </si>
  <si>
    <t>Dave Fazekas</t>
  </si>
  <si>
    <t>dave.fazekas@jmsmucker.com</t>
  </si>
  <si>
    <t>330-285-9409</t>
  </si>
  <si>
    <t>330-684-3481</t>
  </si>
  <si>
    <t>Soft-Lite Windows &amp;amp; Doors</t>
  </si>
  <si>
    <t>Michael Baggott</t>
  </si>
  <si>
    <t>mbaggott@soft-lite.com</t>
  </si>
  <si>
    <t>Southern Industrial Constructors</t>
  </si>
  <si>
    <t>Jamie Evans</t>
  </si>
  <si>
    <t>919-819-0408</t>
  </si>
  <si>
    <t>919-782-4600</t>
  </si>
  <si>
    <t>Mark Locklear</t>
  </si>
  <si>
    <t>mark.locklear@southernindustrial.com</t>
  </si>
  <si>
    <t>919-618-1637</t>
  </si>
  <si>
    <t>Randy Harmon</t>
  </si>
  <si>
    <t>randy.harmon@southernindustrial.com</t>
  </si>
  <si>
    <t>919-632-2127</t>
  </si>
  <si>
    <t>Specialty Processing LLC</t>
  </si>
  <si>
    <t>Ted Del Medico</t>
  </si>
  <si>
    <t>tdel@specialtyprocessing.com</t>
  </si>
  <si>
    <t>330-958-9256</t>
  </si>
  <si>
    <t>330-331-7258</t>
  </si>
  <si>
    <t>Spencer Forge</t>
  </si>
  <si>
    <t>Lee Hahner</t>
  </si>
  <si>
    <t>lhahner@spencerforge.com</t>
  </si>
  <si>
    <t>Splattergoat Customs</t>
  </si>
  <si>
    <t>Preston Pasco</t>
  </si>
  <si>
    <t>330-734-7596</t>
  </si>
  <si>
    <t>Spurtree Spices</t>
  </si>
  <si>
    <t>Mohan Jagnarine</t>
  </si>
  <si>
    <t>mohan@spurtreejamaica.com</t>
  </si>
  <si>
    <t>876 564 6482</t>
  </si>
  <si>
    <t>SSI Design Build Constructors</t>
  </si>
  <si>
    <t>Chad Millsap</t>
  </si>
  <si>
    <t>479-461-6009</t>
  </si>
  <si>
    <t>479-646-2901</t>
  </si>
  <si>
    <t>Stahl Division of Scott &amp; Fetzer Company</t>
  </si>
  <si>
    <t>Mike Burlikowski</t>
  </si>
  <si>
    <t>mburlikowski@stahltruckbodies.com</t>
  </si>
  <si>
    <t>330-202-4233</t>
  </si>
  <si>
    <t>Standard Express</t>
  </si>
  <si>
    <t>Noah Befus</t>
  </si>
  <si>
    <t>Noah@standardex.com</t>
  </si>
  <si>
    <t>414-238-2107</t>
  </si>
  <si>
    <t>414-389-0000</t>
  </si>
  <si>
    <t>Staples</t>
  </si>
  <si>
    <t>Beth Williams</t>
  </si>
  <si>
    <t>cc0507@staplescopycenter.com</t>
  </si>
  <si>
    <t>330-645-1397</t>
  </si>
  <si>
    <t>Stark Industrial, LLC</t>
  </si>
  <si>
    <t>Samuel Wilkof</t>
  </si>
  <si>
    <t>swilkof@starkindustrial.com</t>
  </si>
  <si>
    <t>330-966-8108</t>
  </si>
  <si>
    <t>States Engineering, Inc.</t>
  </si>
  <si>
    <t>Chuck Bivens</t>
  </si>
  <si>
    <t>info@statesengineering.com</t>
  </si>
  <si>
    <t>260-747-6195</t>
  </si>
  <si>
    <t>Steelastic</t>
  </si>
  <si>
    <t>Mark Marabito</t>
  </si>
  <si>
    <t>mmarabito@steelastic.com</t>
  </si>
  <si>
    <t>330-633-0505</t>
  </si>
  <si>
    <t>330-564-1526</t>
  </si>
  <si>
    <t>Stone Mart</t>
  </si>
  <si>
    <t>samantha lautanen</t>
  </si>
  <si>
    <t>samantha@stonemartmarblegranite.com</t>
  </si>
  <si>
    <t>Strukol Company of America</t>
  </si>
  <si>
    <t>James Boskovitch</t>
  </si>
  <si>
    <t>jboskovitch@struktol.com</t>
  </si>
  <si>
    <t>330-928-5188</t>
  </si>
  <si>
    <t>Rich Tomko</t>
  </si>
  <si>
    <t>Summit Machine Services</t>
  </si>
  <si>
    <t>Jesse VanVleet</t>
  </si>
  <si>
    <t>jvanvleet@summitmachineservices.com</t>
  </si>
  <si>
    <t>317-448-3497</t>
  </si>
  <si>
    <t>Sunbelt Rentals</t>
  </si>
  <si>
    <t>Nick Denzer</t>
  </si>
  <si>
    <t>nick.denzer@sunbeltrentals.com</t>
  </si>
  <si>
    <t>330-415-1803</t>
  </si>
  <si>
    <t>Sunny Brook</t>
  </si>
  <si>
    <t>Jason Cadwell</t>
  </si>
  <si>
    <t>cadwell40@live.com</t>
  </si>
  <si>
    <t>330-673-7667</t>
  </si>
  <si>
    <t>Superior Dairy</t>
  </si>
  <si>
    <t>Jamie Garmon</t>
  </si>
  <si>
    <t>jamie.garmon@superiordairy.com</t>
  </si>
  <si>
    <t>330-327-3150</t>
  </si>
  <si>
    <t>330-477-5908</t>
  </si>
  <si>
    <t>Todd Christner</t>
  </si>
  <si>
    <t>todd.christner@superiordairy.com</t>
  </si>
  <si>
    <t>330-324-2257</t>
  </si>
  <si>
    <t>330-478-7139</t>
  </si>
  <si>
    <t>Superior Equipment Solutions</t>
  </si>
  <si>
    <t>John Jayme</t>
  </si>
  <si>
    <t>john@supequipment.com</t>
  </si>
  <si>
    <t>216-407-6733</t>
  </si>
  <si>
    <t>937-704-0357</t>
  </si>
  <si>
    <t>Switchback Group</t>
  </si>
  <si>
    <t>Liz Anacki</t>
  </si>
  <si>
    <t>lanacki@herschal.com</t>
  </si>
  <si>
    <t>330-523-5200</t>
  </si>
  <si>
    <t>T.D.C.</t>
  </si>
  <si>
    <t>Elle Kessman</t>
  </si>
  <si>
    <t>ekessman@tdcsystems.com</t>
  </si>
  <si>
    <t>702-339-1071</t>
  </si>
  <si>
    <t>Tallmadge Tire Service Center</t>
  </si>
  <si>
    <t>D Manuselis</t>
  </si>
  <si>
    <t>330-633-3332</t>
  </si>
  <si>
    <t>Tarpco</t>
  </si>
  <si>
    <t>Nathan Splitstone</t>
  </si>
  <si>
    <t>nsplitstone@tarpco.com</t>
  </si>
  <si>
    <t>330-677-8277</t>
  </si>
  <si>
    <t>TB Jones, LLC.</t>
  </si>
  <si>
    <t>Ben Jones</t>
  </si>
  <si>
    <t>ben@tbjonesllc.com</t>
  </si>
  <si>
    <t>(832) 640-7353</t>
  </si>
  <si>
    <t>(281) 457-1204</t>
  </si>
  <si>
    <t>TCH Industries</t>
  </si>
  <si>
    <t>Frank</t>
  </si>
  <si>
    <t>fmontini@yohesupply.com</t>
  </si>
  <si>
    <t>440-465-7606</t>
  </si>
  <si>
    <t>Technology International, Inc.</t>
  </si>
  <si>
    <t>Brad Hubbard</t>
  </si>
  <si>
    <t>brad@TII-USA.COM</t>
  </si>
  <si>
    <t>407-359-2372</t>
  </si>
  <si>
    <t>Tenneco</t>
  </si>
  <si>
    <t>Scott Hart</t>
  </si>
  <si>
    <t>shart@tenneco.com</t>
  </si>
  <si>
    <t>419-239-1368</t>
  </si>
  <si>
    <t>Tenn-Tech Automation Controls, Inc</t>
  </si>
  <si>
    <t>Craig Chandler</t>
  </si>
  <si>
    <t>craigchandler@tenntech.com</t>
  </si>
  <si>
    <t>731-431-8767</t>
  </si>
  <si>
    <t>731-695-1562</t>
  </si>
  <si>
    <t>Scott Taylor</t>
  </si>
  <si>
    <t>scotttaylor@tenntech.com</t>
  </si>
  <si>
    <t>731-697-6605</t>
  </si>
  <si>
    <t>Terra Source</t>
  </si>
  <si>
    <t>Frank Special</t>
  </si>
  <si>
    <t>frank.special@terrasource.com</t>
  </si>
  <si>
    <t>234-817-1778</t>
  </si>
  <si>
    <t>234-352-1218</t>
  </si>
  <si>
    <t>Tesla Nanocoatings</t>
  </si>
  <si>
    <t>Todd Hawkins</t>
  </si>
  <si>
    <t>todd.hawkins@teslanano.com</t>
  </si>
  <si>
    <t>330-417-3550</t>
  </si>
  <si>
    <t>330-809-6691</t>
  </si>
  <si>
    <t>The Akron Burial Vault Co.</t>
  </si>
  <si>
    <t>Martin Ebie</t>
  </si>
  <si>
    <t>330-760-0121</t>
  </si>
  <si>
    <t>330-784-5475</t>
  </si>
  <si>
    <t>The Bonnot Company</t>
  </si>
  <si>
    <t>Becky Goulden</t>
  </si>
  <si>
    <t>bgoulden@thebonnotco.com</t>
  </si>
  <si>
    <t>330-896-6544</t>
  </si>
  <si>
    <t>The Home Depot</t>
  </si>
  <si>
    <t>Dave Sherrin</t>
  </si>
  <si>
    <t>Prodesk_3830@homedepot.com</t>
  </si>
  <si>
    <t>330-245-0280 ext462</t>
  </si>
  <si>
    <t>The Welder's Spot</t>
  </si>
  <si>
    <t>Ken Davey</t>
  </si>
  <si>
    <t>sales@theweldersspot.com</t>
  </si>
  <si>
    <t>828-248-2320</t>
  </si>
  <si>
    <t>The Will-Burt Co.</t>
  </si>
  <si>
    <t>Chris Cameron</t>
  </si>
  <si>
    <t>ccameron@willburt.com</t>
  </si>
  <si>
    <t>330-347-3118</t>
  </si>
  <si>
    <t>Things to move, inc</t>
  </si>
  <si>
    <t>Jim Perry</t>
  </si>
  <si>
    <t>things2move@aol.com</t>
  </si>
  <si>
    <t>330-350-2022</t>
  </si>
  <si>
    <t>330-334-1950</t>
  </si>
  <si>
    <t>Tigers Global Logistics</t>
  </si>
  <si>
    <t>Daniel Hradetzky</t>
  </si>
  <si>
    <t>daniel.hradetzky@go2tigers.com</t>
  </si>
  <si>
    <t>734-229-1060</t>
  </si>
  <si>
    <t>TMR Products</t>
  </si>
  <si>
    <t>Mike Young</t>
  </si>
  <si>
    <t>mikedyoung85@yahoo.com</t>
  </si>
  <si>
    <t>Total Quality Logistics</t>
  </si>
  <si>
    <t>Elex Simmons</t>
  </si>
  <si>
    <t>esimmons@tgl.com</t>
  </si>
  <si>
    <t>Town of Spindale</t>
  </si>
  <si>
    <t>Scott Webber</t>
  </si>
  <si>
    <t>gswebber@spindalenc.net</t>
  </si>
  <si>
    <t>828-286-2541</t>
  </si>
  <si>
    <t>Tradesmen International</t>
  </si>
  <si>
    <t>Russ Preisse</t>
  </si>
  <si>
    <t>russell.preisse@tradesmeninternational.com</t>
  </si>
  <si>
    <t>330-208-3816</t>
  </si>
  <si>
    <t>330-896-0420</t>
  </si>
  <si>
    <t>Transco Railway Company</t>
  </si>
  <si>
    <t>Andrew McCarty</t>
  </si>
  <si>
    <t>amccraty@transcorailway.com</t>
  </si>
  <si>
    <t>330-872-0934</t>
  </si>
  <si>
    <t>Transport Services</t>
  </si>
  <si>
    <t>Tammy</t>
  </si>
  <si>
    <t>402-750-2941</t>
  </si>
  <si>
    <t>Triseal</t>
  </si>
  <si>
    <t>Carroll Baranowske</t>
  </si>
  <si>
    <t>carroll.baranowske@tekni-plex.com</t>
  </si>
  <si>
    <t>845-548-6642</t>
  </si>
  <si>
    <t>845-512-7276</t>
  </si>
  <si>
    <t>Tritech Fall Protection Systems</t>
  </si>
  <si>
    <t>Marina Lima</t>
  </si>
  <si>
    <t>marina.l@trichfallprotection.com</t>
  </si>
  <si>
    <t>Ty-Tan Construction</t>
  </si>
  <si>
    <t>Tom Semelsberger</t>
  </si>
  <si>
    <t>tytanconstruction5@gmail.com</t>
  </si>
  <si>
    <t>330-618-1054</t>
  </si>
  <si>
    <t>Ultimate Transportation</t>
  </si>
  <si>
    <t>Ronda Forrest</t>
  </si>
  <si>
    <t>ronda@goultimate.com</t>
  </si>
  <si>
    <t>713-824-6148</t>
  </si>
  <si>
    <t>UMD Automated Systems</t>
  </si>
  <si>
    <t>Joe Edwards</t>
  </si>
  <si>
    <t>419-512-3021</t>
  </si>
  <si>
    <t>740-694-8614</t>
  </si>
  <si>
    <t>Shane Taylor</t>
  </si>
  <si>
    <t>staylor@umdinc.net</t>
  </si>
  <si>
    <t>740-507-8163</t>
  </si>
  <si>
    <t>Unified Insulation Systems</t>
  </si>
  <si>
    <t>Mark Estrada</t>
  </si>
  <si>
    <t>mestrada@unifiedakron.com</t>
  </si>
  <si>
    <t>330-904-0190</t>
  </si>
  <si>
    <t>330-773-7377</t>
  </si>
  <si>
    <t>Uniloy Inc.</t>
  </si>
  <si>
    <t>Patricia Castro</t>
  </si>
  <si>
    <t>patricia@cpservicios.com</t>
  </si>
  <si>
    <t>419-332-2693</t>
  </si>
  <si>
    <t>Universal Tool, Inc</t>
  </si>
  <si>
    <t>Lee Johnson</t>
  </si>
  <si>
    <t>universal_tool@bellsouth.net</t>
  </si>
  <si>
    <t>256-312-0976</t>
  </si>
  <si>
    <t>256-442-0508</t>
  </si>
  <si>
    <t>Vendrick Construction</t>
  </si>
  <si>
    <t>Jeff Taylor</t>
  </si>
  <si>
    <t>jtaylor@vendrickconstruction.com</t>
  </si>
  <si>
    <t>330-448-4600</t>
  </si>
  <si>
    <t>Ventech LLC</t>
  </si>
  <si>
    <t>Dave Pothier</t>
  </si>
  <si>
    <t>dpothier@ventechlhg.com</t>
  </si>
  <si>
    <t>810-623-3457</t>
  </si>
  <si>
    <t>Venturi North America</t>
  </si>
  <si>
    <t>Michael Johanni</t>
  </si>
  <si>
    <t>mjohanni@venturi.com</t>
  </si>
  <si>
    <t>614-338-9885</t>
  </si>
  <si>
    <t>Vibrant Health Products</t>
  </si>
  <si>
    <t>Jeremy Brousson</t>
  </si>
  <si>
    <t>jbrousson@vibranthealthproducts.com</t>
  </si>
  <si>
    <t>604-768-8943</t>
  </si>
  <si>
    <t>Victory Tool</t>
  </si>
  <si>
    <t>Steve Shwartz</t>
  </si>
  <si>
    <t>718-698-8400</t>
  </si>
  <si>
    <t>Viking Forge Inc</t>
  </si>
  <si>
    <t>Paul Graham</t>
  </si>
  <si>
    <t>paulg@viking-forge.com</t>
  </si>
  <si>
    <t>330-562-3366 x1122</t>
  </si>
  <si>
    <t>Viking Packing</t>
  </si>
  <si>
    <t>Troy Unknown</t>
  </si>
  <si>
    <t>918-237-3138</t>
  </si>
  <si>
    <t>VPE</t>
  </si>
  <si>
    <t>Wall Street Recycling</t>
  </si>
  <si>
    <t>Matt Ambrose</t>
  </si>
  <si>
    <t>mattwsr@sbcglobal.net</t>
  </si>
  <si>
    <t>440-829-7064</t>
  </si>
  <si>
    <t>Warabeya North America</t>
  </si>
  <si>
    <t>Arturo Amaro</t>
  </si>
  <si>
    <t>arturoa@wb-na.com</t>
  </si>
  <si>
    <t>956-215-3921</t>
  </si>
  <si>
    <t>WB Argi-plastics</t>
  </si>
  <si>
    <t>Nathan Bailey</t>
  </si>
  <si>
    <t>nathan@waterbugap.com</t>
  </si>
  <si>
    <t>870-224-3016</t>
  </si>
  <si>
    <t>Weber Murphy Fox</t>
  </si>
  <si>
    <t>Clete Miller</t>
  </si>
  <si>
    <t>cmiller@wmf-inc.com</t>
  </si>
  <si>
    <t>216-409-3366</t>
  </si>
  <si>
    <t>216-452-1202</t>
  </si>
  <si>
    <t>Weis Industries</t>
  </si>
  <si>
    <t>Steve Fellows</t>
  </si>
  <si>
    <t>Western Farm Pet Cremation</t>
  </si>
  <si>
    <t>Brian Grasse</t>
  </si>
  <si>
    <t>bg@westernfarmpc.com</t>
  </si>
  <si>
    <t>440.748.1716</t>
  </si>
  <si>
    <t>Weyerhaeuser</t>
  </si>
  <si>
    <t>Steven Yeager</t>
  </si>
  <si>
    <t>steven.yeager@weyerhaeuser.com</t>
  </si>
  <si>
    <t>304-646-4415</t>
  </si>
  <si>
    <t>304-520-3315</t>
  </si>
  <si>
    <t>Williams Furnace Company</t>
  </si>
  <si>
    <t>Joaquin Cervantes</t>
  </si>
  <si>
    <t>WRE/ColorTech</t>
  </si>
  <si>
    <t>Dean Ellebruch</t>
  </si>
  <si>
    <t>dean.ellebruch@wrecolor.com</t>
  </si>
  <si>
    <t>330-807-7748</t>
  </si>
  <si>
    <t>Wright Spec</t>
  </si>
  <si>
    <t>Nick Pierce</t>
  </si>
  <si>
    <t>npierce@wrightspec.com</t>
  </si>
  <si>
    <t>920-570-1395</t>
  </si>
  <si>
    <t>Wyko Tire Technology</t>
  </si>
  <si>
    <t>Tim Tipton</t>
  </si>
  <si>
    <t>865-599-0575</t>
  </si>
  <si>
    <t>865-856-2317 x114</t>
  </si>
  <si>
    <t>Yizumi-HPM Corporation</t>
  </si>
  <si>
    <t>Scott Burkett</t>
  </si>
  <si>
    <t>sburkett@yizumi-hpm.com</t>
  </si>
  <si>
    <t>419-357-7499</t>
  </si>
  <si>
    <t>YSK CORPORATION</t>
  </si>
  <si>
    <t>Gary Foreman</t>
  </si>
  <si>
    <t>gforeman@yskcorp.com</t>
  </si>
  <si>
    <t>330-734-7374</t>
  </si>
  <si>
    <t>TJ Braden</t>
  </si>
  <si>
    <t>tbraden@yskcorp.com</t>
  </si>
  <si>
    <t>740-775-9752</t>
  </si>
  <si>
    <t>Zehrco-Giancola</t>
  </si>
  <si>
    <t>Bruce Hamilton</t>
  </si>
  <si>
    <t>303-606-9333</t>
  </si>
  <si>
    <t>ZF Group</t>
  </si>
  <si>
    <t>Bastian Gehling</t>
  </si>
  <si>
    <t>Bastian.gehling@zf.com</t>
  </si>
  <si>
    <t>864-601-5650</t>
  </si>
  <si>
    <t>Bill bill.kutz@artiflexmfg.com</t>
  </si>
  <si>
    <t>bill.kutz@artiflexmfg.com</t>
  </si>
  <si>
    <t>330-830-7800</t>
  </si>
  <si>
    <t>Bill Senger</t>
  </si>
  <si>
    <t>bsenger@wadsworthcity.org</t>
  </si>
  <si>
    <t>330-335-2857</t>
  </si>
  <si>
    <t>Chad Tabler</t>
  </si>
  <si>
    <t>ctabler@equipnet.com</t>
  </si>
  <si>
    <t>781-821-3482 x2145</t>
  </si>
  <si>
    <t>Charles Thomas</t>
  </si>
  <si>
    <t>229-630-7335</t>
  </si>
  <si>
    <t>Chris Leeth</t>
  </si>
  <si>
    <t>chris@muserailroadmaterials.com</t>
  </si>
  <si>
    <t>618-335-4463</t>
  </si>
  <si>
    <t>678-546-1141</t>
  </si>
  <si>
    <t>Connor Dann</t>
  </si>
  <si>
    <t>dannconn@msu.edu</t>
  </si>
  <si>
    <t>989-413-3091</t>
  </si>
  <si>
    <t>Dan Williams</t>
  </si>
  <si>
    <t>dgwilliams@cellocore.com</t>
  </si>
  <si>
    <t>330-815-3369</t>
  </si>
  <si>
    <t>Dave Shippoli</t>
  </si>
  <si>
    <t>dshippoli@dtmeast.com</t>
  </si>
  <si>
    <t>216-233-3502</t>
  </si>
  <si>
    <t>Don Marteny</t>
  </si>
  <si>
    <t>dmarteny@edwardstransfer.com</t>
  </si>
  <si>
    <t>614-565-0429</t>
  </si>
  <si>
    <t>800-877-2050</t>
  </si>
  <si>
    <t>Doug King</t>
  </si>
  <si>
    <t>Enver Bektic</t>
  </si>
  <si>
    <t>Enverbektic@sbcglobal.net</t>
  </si>
  <si>
    <t>330-252-7874</t>
  </si>
  <si>
    <t>George Strekal</t>
  </si>
  <si>
    <t>gws@southshoecontrols.com</t>
  </si>
  <si>
    <t>216-347-1656</t>
  </si>
  <si>
    <t>George Winklemann</t>
  </si>
  <si>
    <t>ghwink@yahoo.com</t>
  </si>
  <si>
    <t>330-328-3516</t>
  </si>
  <si>
    <t>Jake Conjerti</t>
  </si>
  <si>
    <t>jakeconjerti.link@gmail.com</t>
  </si>
  <si>
    <t>330-571-6965</t>
  </si>
  <si>
    <t>Jeff Everett</t>
  </si>
  <si>
    <t>jeff_everett@csx.com</t>
  </si>
  <si>
    <t>904-279-3947</t>
  </si>
  <si>
    <t>Jeremy Embry</t>
  </si>
  <si>
    <t>jeremy@aquariumartisans.com</t>
  </si>
  <si>
    <t>513-895-3474</t>
  </si>
  <si>
    <t>Jerry Raber</t>
  </si>
  <si>
    <t>jerry.sprayfoam@gmail.com</t>
  </si>
  <si>
    <t>330-828-1977</t>
  </si>
  <si>
    <t>Joe Vereecken</t>
  </si>
  <si>
    <t>330-650-3842</t>
  </si>
  <si>
    <t>john bryce</t>
  </si>
  <si>
    <t>John Dirrig</t>
  </si>
  <si>
    <t>jdirrig@oh.hra.com</t>
  </si>
  <si>
    <t>740-971-3219</t>
  </si>
  <si>
    <t>937-309-9264</t>
  </si>
  <si>
    <t>Johnny D</t>
  </si>
  <si>
    <t>540-819-9399</t>
  </si>
  <si>
    <t>Ken Doney</t>
  </si>
  <si>
    <t>ken.doney@artiflexmfg.com</t>
  </si>
  <si>
    <t>330-231-3212</t>
  </si>
  <si>
    <t>330-202-6938</t>
  </si>
  <si>
    <t>Matt Howitt</t>
  </si>
  <si>
    <t>matt@next-lift.com</t>
  </si>
  <si>
    <t>937-260-3814</t>
  </si>
  <si>
    <t>937-387-8140</t>
  </si>
  <si>
    <t>Melissa</t>
  </si>
  <si>
    <t>melissa.walton@emotrans.com</t>
  </si>
  <si>
    <t>Michael Perkins</t>
  </si>
  <si>
    <t>mike.perkins@shoemakerrigging.com</t>
  </si>
  <si>
    <t>Paul Wortman</t>
  </si>
  <si>
    <t>pwortman@lmtproducts.com</t>
  </si>
  <si>
    <t>Robert Chappel</t>
  </si>
  <si>
    <t>chap.1@aol.com</t>
  </si>
  <si>
    <t>937-962-4851</t>
  </si>
  <si>
    <t>Sabrina Burton</t>
  </si>
  <si>
    <t>sabrinacarlucci6@gmail.com</t>
  </si>
  <si>
    <t>614-372-9774</t>
  </si>
  <si>
    <t>Steve Brenner</t>
  </si>
  <si>
    <t>steve@primemach.com</t>
  </si>
  <si>
    <t>Steven Breeden</t>
  </si>
  <si>
    <t>breeden183@live.com</t>
  </si>
  <si>
    <t>304-667-6773</t>
  </si>
  <si>
    <t>steven. shoemaker</t>
  </si>
  <si>
    <t>steven.shoemaker@shoemakerrigging.com</t>
  </si>
  <si>
    <t>Thomas Law</t>
  </si>
  <si>
    <t>tomlaw274@aol.com</t>
  </si>
  <si>
    <t>715-467-7436</t>
  </si>
  <si>
    <t>Tim O`Connell</t>
  </si>
  <si>
    <t>toc@oconnellmachinery.com</t>
  </si>
  <si>
    <t>tstrasshofer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</si>
</sst>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FF"/>
        <bgColor rgb="FFF7F9FC"/>
      </patternFill>
    </fill>
    <fill>
      <patternFill patternType="solid">
        <fgColor rgb="FFE8F4E8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FB3B3"/>
        <bgColor rgb="FFFF99CC"/>
      </patternFill>
    </fill>
  </fills>
  <borders count="10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99"/>
          <bgColor rgb="FF2E405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rgb="FFFF99CC"/>
          <bgColor rgb="FFFFB3B3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99"/>
          <bgColor rgb="FF2E405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ott\Downloads\customer_match_v3.xlsx" TargetMode="External"/><Relationship Id="rId1" Type="http://schemas.openxmlformats.org/officeDocument/2006/relationships/externalLinkPath" Target="file:///C:\Users\Scott\Downloads\customer_match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s"/>
      <sheetName val="customer_contacts"/>
      <sheetName val="True Customers"/>
      <sheetName val="Still Researching"/>
    </sheetNames>
    <sheetDataSet>
      <sheetData sheetId="0">
        <row r="1">
          <cell r="A1" t="str">
            <v>id</v>
          </cell>
          <cell r="B1" t="str">
            <v>name</v>
          </cell>
        </row>
        <row r="2">
          <cell r="A2">
            <v>1</v>
          </cell>
          <cell r="B2" t="str">
            <v>A &amp; B Import Export Inc</v>
          </cell>
        </row>
        <row r="3">
          <cell r="A3">
            <v>2</v>
          </cell>
          <cell r="B3" t="str">
            <v>A &amp; B Metal Recycling</v>
          </cell>
        </row>
        <row r="4">
          <cell r="A4">
            <v>3</v>
          </cell>
          <cell r="B4" t="str">
            <v>Aakash Patel</v>
          </cell>
        </row>
        <row r="5">
          <cell r="A5">
            <v>4</v>
          </cell>
          <cell r="B5" t="str">
            <v>Aaron Equipment Company</v>
          </cell>
        </row>
        <row r="6">
          <cell r="A6">
            <v>5</v>
          </cell>
          <cell r="B6" t="str">
            <v>AB Sustentable Environmental</v>
          </cell>
        </row>
        <row r="7">
          <cell r="A7">
            <v>6</v>
          </cell>
          <cell r="B7" t="str">
            <v>Acasi Machinery</v>
          </cell>
        </row>
        <row r="8">
          <cell r="A8">
            <v>7</v>
          </cell>
          <cell r="B8" t="str">
            <v>Accel Group, Inc</v>
          </cell>
        </row>
        <row r="9">
          <cell r="A9">
            <v>8</v>
          </cell>
          <cell r="B9" t="str">
            <v>Accella Tire Fill System</v>
          </cell>
        </row>
        <row r="10">
          <cell r="A10">
            <v>9</v>
          </cell>
          <cell r="B10" t="str">
            <v>Accurate Steel</v>
          </cell>
        </row>
        <row r="11">
          <cell r="A11">
            <v>10</v>
          </cell>
          <cell r="B11" t="str">
            <v>Accuwright Mechanical LLC</v>
          </cell>
        </row>
        <row r="12">
          <cell r="A12">
            <v>11</v>
          </cell>
          <cell r="B12" t="str">
            <v>Ace Manufacturing and Parts Co</v>
          </cell>
        </row>
        <row r="13">
          <cell r="A13">
            <v>12</v>
          </cell>
          <cell r="B13" t="str">
            <v>Ace Products &amp; Consulting LLC</v>
          </cell>
        </row>
        <row r="14">
          <cell r="A14">
            <v>13</v>
          </cell>
          <cell r="B14" t="str">
            <v>ADAMSON AND DOBBIN LIMITED</v>
          </cell>
        </row>
        <row r="15">
          <cell r="A15">
            <v>14</v>
          </cell>
          <cell r="B15" t="str">
            <v>Additive Engineering</v>
          </cell>
        </row>
        <row r="16">
          <cell r="A16">
            <v>15</v>
          </cell>
          <cell r="B16" t="str">
            <v>ADJ Industries US Inc</v>
          </cell>
        </row>
        <row r="17">
          <cell r="A17">
            <v>16</v>
          </cell>
          <cell r="B17" t="str">
            <v>Advanced Coldforming Co</v>
          </cell>
        </row>
        <row r="18">
          <cell r="A18">
            <v>17</v>
          </cell>
          <cell r="B18" t="str">
            <v>Advanced Machinery Companies</v>
          </cell>
        </row>
        <row r="19">
          <cell r="A19">
            <v>18</v>
          </cell>
          <cell r="B19" t="str">
            <v>Advanced Poly Packaging, Inc</v>
          </cell>
        </row>
        <row r="20">
          <cell r="A20">
            <v>19</v>
          </cell>
          <cell r="B20" t="str">
            <v>Advanced Print Technologies</v>
          </cell>
        </row>
        <row r="21">
          <cell r="A21">
            <v>20</v>
          </cell>
          <cell r="B21" t="str">
            <v>Advanced Transports</v>
          </cell>
        </row>
        <row r="22">
          <cell r="A22">
            <v>21</v>
          </cell>
          <cell r="B22" t="str">
            <v>Advantage Industrial Systems</v>
          </cell>
        </row>
        <row r="23">
          <cell r="A23">
            <v>22</v>
          </cell>
          <cell r="B23" t="str">
            <v>Aesthetic Finishers</v>
          </cell>
        </row>
        <row r="24">
          <cell r="A24">
            <v>23</v>
          </cell>
          <cell r="B24" t="str">
            <v>Air Force One</v>
          </cell>
        </row>
        <row r="25">
          <cell r="A25">
            <v>24</v>
          </cell>
          <cell r="B25" t="str">
            <v>Akro-Mils</v>
          </cell>
        </row>
        <row r="26">
          <cell r="A26">
            <v>25</v>
          </cell>
          <cell r="B26" t="str">
            <v>Akron Polymer Products</v>
          </cell>
        </row>
        <row r="27">
          <cell r="A27">
            <v>26</v>
          </cell>
          <cell r="B27" t="str">
            <v>Akron Special Machinery Inc</v>
          </cell>
        </row>
        <row r="28">
          <cell r="A28">
            <v>27</v>
          </cell>
          <cell r="B28" t="str">
            <v>Akron Tool &amp; Die</v>
          </cell>
        </row>
        <row r="29">
          <cell r="A29">
            <v>28</v>
          </cell>
          <cell r="B29" t="str">
            <v>Alan Ross Machinery</v>
          </cell>
        </row>
        <row r="30">
          <cell r="A30">
            <v>29</v>
          </cell>
          <cell r="B30" t="str">
            <v>Alexander's Mobility Services</v>
          </cell>
        </row>
        <row r="31">
          <cell r="A31">
            <v>30</v>
          </cell>
          <cell r="B31" t="str">
            <v>Alexander Shul</v>
          </cell>
        </row>
        <row r="32">
          <cell r="A32">
            <v>31</v>
          </cell>
          <cell r="B32" t="str">
            <v>Alfe Heat Treating</v>
          </cell>
        </row>
        <row r="33">
          <cell r="A33">
            <v>32</v>
          </cell>
          <cell r="B33" t="str">
            <v>All-Metal Fabrication LLC</v>
          </cell>
        </row>
        <row r="34">
          <cell r="A34">
            <v>33</v>
          </cell>
          <cell r="B34" t="str">
            <v>All Ohio Threaded Rod Co</v>
          </cell>
        </row>
        <row r="35">
          <cell r="A35">
            <v>34</v>
          </cell>
          <cell r="B35" t="str">
            <v>Alliance Tubular Products LLC</v>
          </cell>
        </row>
        <row r="36">
          <cell r="A36">
            <v>35</v>
          </cell>
          <cell r="B36" t="str">
            <v>Allied Mineral Products, Inc</v>
          </cell>
        </row>
        <row r="37">
          <cell r="A37">
            <v>36</v>
          </cell>
          <cell r="B37" t="str">
            <v>Allkraft Erectors Inc</v>
          </cell>
        </row>
        <row r="38">
          <cell r="A38">
            <v>37</v>
          </cell>
          <cell r="B38" t="str">
            <v>Allways Precision Inc</v>
          </cell>
        </row>
        <row r="39">
          <cell r="A39">
            <v>38</v>
          </cell>
          <cell r="B39" t="str">
            <v>Alma Machinery Co Inc</v>
          </cell>
        </row>
        <row r="40">
          <cell r="A40">
            <v>39</v>
          </cell>
          <cell r="B40" t="str">
            <v>Alpha Baking</v>
          </cell>
        </row>
        <row r="41">
          <cell r="A41">
            <v>40</v>
          </cell>
          <cell r="B41" t="str">
            <v>Alpha Packaging</v>
          </cell>
        </row>
        <row r="42">
          <cell r="A42">
            <v>41</v>
          </cell>
          <cell r="B42" t="str">
            <v>Alpha Tool &amp; Mold</v>
          </cell>
        </row>
        <row r="43">
          <cell r="A43">
            <v>42</v>
          </cell>
          <cell r="B43" t="str">
            <v>Alstrom</v>
          </cell>
        </row>
        <row r="44">
          <cell r="A44">
            <v>43</v>
          </cell>
          <cell r="B44" t="str">
            <v>Alterra Energy</v>
          </cell>
        </row>
        <row r="45">
          <cell r="A45">
            <v>44</v>
          </cell>
          <cell r="B45" t="str">
            <v>AM Industrial Group, LLC</v>
          </cell>
        </row>
        <row r="46">
          <cell r="A46">
            <v>45</v>
          </cell>
          <cell r="B46" t="str">
            <v>Amada Steel of Ohio LLC</v>
          </cell>
        </row>
        <row r="47">
          <cell r="A47">
            <v>46</v>
          </cell>
          <cell r="B47" t="str">
            <v>American Engineering and Metal Working</v>
          </cell>
        </row>
        <row r="48">
          <cell r="A48">
            <v>47</v>
          </cell>
          <cell r="B48" t="str">
            <v>American Friction Technologies</v>
          </cell>
        </row>
        <row r="49">
          <cell r="A49">
            <v>48</v>
          </cell>
          <cell r="B49" t="str">
            <v>American Guide Systems LLC</v>
          </cell>
        </row>
        <row r="50">
          <cell r="A50">
            <v>49</v>
          </cell>
          <cell r="B50" t="str">
            <v>American Molded Plastics</v>
          </cell>
        </row>
        <row r="51">
          <cell r="A51">
            <v>50</v>
          </cell>
          <cell r="B51" t="str">
            <v>Ametek Dynamic Fluid Solutions</v>
          </cell>
        </row>
        <row r="52">
          <cell r="A52">
            <v>51</v>
          </cell>
          <cell r="B52" t="str">
            <v>Analyte Scientific</v>
          </cell>
        </row>
        <row r="53">
          <cell r="A53">
            <v>52</v>
          </cell>
          <cell r="B53" t="str">
            <v>Andersen Corp</v>
          </cell>
        </row>
        <row r="54">
          <cell r="A54">
            <v>53</v>
          </cell>
          <cell r="B54" t="str">
            <v>Anderson International Corp</v>
          </cell>
        </row>
        <row r="55">
          <cell r="A55">
            <v>54</v>
          </cell>
          <cell r="B55" t="str">
            <v>Appalachian Hardwood Lumber Co</v>
          </cell>
        </row>
        <row r="56">
          <cell r="A56">
            <v>55</v>
          </cell>
          <cell r="B56" t="str">
            <v>Applied Foundry Solutions</v>
          </cell>
        </row>
        <row r="57">
          <cell r="A57">
            <v>56</v>
          </cell>
          <cell r="B57" t="str">
            <v>APV Engineered Coatings</v>
          </cell>
        </row>
        <row r="58">
          <cell r="A58">
            <v>57</v>
          </cell>
          <cell r="B58" t="str">
            <v>Aquarium Artisans</v>
          </cell>
        </row>
        <row r="59">
          <cell r="A59">
            <v>58</v>
          </cell>
          <cell r="B59" t="str">
            <v>Arc-Heat LLC</v>
          </cell>
        </row>
        <row r="60">
          <cell r="A60">
            <v>59</v>
          </cell>
          <cell r="B60" t="str">
            <v>ARE Truck Caps</v>
          </cell>
        </row>
        <row r="61">
          <cell r="A61">
            <v>60</v>
          </cell>
          <cell r="B61" t="str">
            <v>Ariel Corporation</v>
          </cell>
        </row>
        <row r="62">
          <cell r="A62">
            <v>61</v>
          </cell>
          <cell r="B62" t="str">
            <v>Arlington Machinery</v>
          </cell>
        </row>
        <row r="63">
          <cell r="A63">
            <v>62</v>
          </cell>
          <cell r="B63" t="str">
            <v>Armo Tool</v>
          </cell>
        </row>
        <row r="64">
          <cell r="A64">
            <v>63</v>
          </cell>
          <cell r="B64" t="str">
            <v>Arnco Pathway</v>
          </cell>
        </row>
        <row r="65">
          <cell r="A65">
            <v>64</v>
          </cell>
          <cell r="B65" t="str">
            <v>Arrow Tool and Gage Co Inc</v>
          </cell>
        </row>
        <row r="66">
          <cell r="A66">
            <v>65</v>
          </cell>
          <cell r="B66" t="str">
            <v>ASC Industries Inc.</v>
          </cell>
        </row>
        <row r="67">
          <cell r="A67">
            <v>66</v>
          </cell>
          <cell r="B67" t="str">
            <v>Asset Option Partners</v>
          </cell>
        </row>
        <row r="68">
          <cell r="A68">
            <v>67</v>
          </cell>
          <cell r="B68" t="str">
            <v>ATA Tools</v>
          </cell>
        </row>
        <row r="69">
          <cell r="A69">
            <v>68</v>
          </cell>
          <cell r="B69" t="str">
            <v>Athens Mold</v>
          </cell>
        </row>
        <row r="70">
          <cell r="A70">
            <v>69</v>
          </cell>
          <cell r="B70" t="str">
            <v>Atlas Crane</v>
          </cell>
        </row>
        <row r="71">
          <cell r="A71">
            <v>70</v>
          </cell>
          <cell r="B71" t="str">
            <v>Aurora Plastics, Inc</v>
          </cell>
        </row>
        <row r="72">
          <cell r="A72">
            <v>71</v>
          </cell>
          <cell r="B72" t="str">
            <v>Automated Logistics Systems</v>
          </cell>
        </row>
        <row r="73">
          <cell r="A73">
            <v>72</v>
          </cell>
          <cell r="B73" t="str">
            <v>Automated Packaging</v>
          </cell>
        </row>
        <row r="74">
          <cell r="A74">
            <v>73</v>
          </cell>
          <cell r="B74" t="str">
            <v>Avient Corporation (PolyOne)</v>
          </cell>
        </row>
        <row r="75">
          <cell r="A75">
            <v>74</v>
          </cell>
          <cell r="B75" t="str">
            <v>Avon Lake Sheet Metal Co</v>
          </cell>
        </row>
        <row r="76">
          <cell r="A76">
            <v>75</v>
          </cell>
          <cell r="B76" t="str">
            <v>Azmex, LLC</v>
          </cell>
        </row>
        <row r="77">
          <cell r="A77">
            <v>76</v>
          </cell>
          <cell r="B77" t="str">
            <v>Azure DEF</v>
          </cell>
        </row>
        <row r="78">
          <cell r="A78">
            <v>77</v>
          </cell>
          <cell r="B78" t="str">
            <v>B.M. Rebuilders Inc.</v>
          </cell>
        </row>
        <row r="79">
          <cell r="A79">
            <v>78</v>
          </cell>
          <cell r="B79" t="str">
            <v>Baker's Pride</v>
          </cell>
        </row>
        <row r="80">
          <cell r="A80">
            <v>79</v>
          </cell>
          <cell r="B80" t="str">
            <v>Bakers Parts, Inc.</v>
          </cell>
        </row>
        <row r="81">
          <cell r="A81">
            <v>80</v>
          </cell>
          <cell r="B81" t="str">
            <v>Bakeryequipment.com</v>
          </cell>
        </row>
        <row r="82">
          <cell r="A82">
            <v>81</v>
          </cell>
          <cell r="B82" t="str">
            <v>Baking Enterprises</v>
          </cell>
        </row>
        <row r="83">
          <cell r="A83">
            <v>82</v>
          </cell>
          <cell r="B83" t="str">
            <v>Bayloff Stamped Products</v>
          </cell>
        </row>
        <row r="84">
          <cell r="A84">
            <v>83</v>
          </cell>
          <cell r="B84" t="str">
            <v>BB Blast Equipment Sales</v>
          </cell>
        </row>
        <row r="85">
          <cell r="A85">
            <v>84</v>
          </cell>
          <cell r="B85" t="str">
            <v>BBC Fasteners, Inc</v>
          </cell>
        </row>
        <row r="86">
          <cell r="A86">
            <v>85</v>
          </cell>
          <cell r="B86" t="str">
            <v>BCT, Inc</v>
          </cell>
        </row>
        <row r="87">
          <cell r="A87">
            <v>86</v>
          </cell>
          <cell r="B87" t="str">
            <v>Bearing Engineered Solutions</v>
          </cell>
        </row>
        <row r="88">
          <cell r="A88">
            <v>87</v>
          </cell>
          <cell r="B88" t="str">
            <v>Becker Pumps Corp</v>
          </cell>
        </row>
        <row r="89">
          <cell r="A89">
            <v>88</v>
          </cell>
          <cell r="B89" t="str">
            <v>Beckett Air, Inc</v>
          </cell>
        </row>
        <row r="90">
          <cell r="A90">
            <v>89</v>
          </cell>
          <cell r="B90" t="str">
            <v>Bemis North America</v>
          </cell>
        </row>
        <row r="91">
          <cell r="A91">
            <v>90</v>
          </cell>
          <cell r="B91" t="str">
            <v>Benchmark Craftsmen Inc</v>
          </cell>
        </row>
        <row r="92">
          <cell r="A92">
            <v>91</v>
          </cell>
          <cell r="B92" t="str">
            <v>Berman Moving &amp; Storage</v>
          </cell>
        </row>
        <row r="93">
          <cell r="A93">
            <v>92</v>
          </cell>
          <cell r="B93" t="str">
            <v>Beverage Industries</v>
          </cell>
        </row>
        <row r="94">
          <cell r="A94">
            <v>93</v>
          </cell>
          <cell r="B94" t="str">
            <v>Bi-Con Services</v>
          </cell>
        </row>
        <row r="95">
          <cell r="A95">
            <v>94</v>
          </cell>
          <cell r="B95" t="str">
            <v>Big Productions Inc</v>
          </cell>
        </row>
        <row r="96">
          <cell r="A96">
            <v>95</v>
          </cell>
          <cell r="B96" t="str">
            <v>Blades Machinery Co. Inc.</v>
          </cell>
        </row>
        <row r="97">
          <cell r="A97">
            <v>96</v>
          </cell>
          <cell r="B97" t="str">
            <v>Blowmodling Machinery</v>
          </cell>
        </row>
        <row r="98">
          <cell r="A98">
            <v>97</v>
          </cell>
          <cell r="B98" t="str">
            <v>BMI CAD Services</v>
          </cell>
        </row>
        <row r="99">
          <cell r="A99">
            <v>98</v>
          </cell>
          <cell r="B99" t="str">
            <v>Boiler Tech, Inc (C.D. Whitfield Co)</v>
          </cell>
        </row>
        <row r="100">
          <cell r="A100">
            <v>99</v>
          </cell>
          <cell r="B100" t="str">
            <v>Bole Machinery Inc</v>
          </cell>
        </row>
        <row r="101">
          <cell r="A101">
            <v>100</v>
          </cell>
          <cell r="B101" t="str">
            <v>Boneng Transmission</v>
          </cell>
        </row>
        <row r="102">
          <cell r="A102">
            <v>101</v>
          </cell>
          <cell r="B102" t="str">
            <v>Boomerang Rubber Inc</v>
          </cell>
        </row>
        <row r="103">
          <cell r="A103">
            <v>102</v>
          </cell>
          <cell r="B103" t="str">
            <v>BOS Innovations</v>
          </cell>
        </row>
        <row r="104">
          <cell r="A104">
            <v>103</v>
          </cell>
          <cell r="B104" t="str">
            <v>Boyd Industrial Supply, LLC</v>
          </cell>
        </row>
        <row r="105">
          <cell r="A105">
            <v>104</v>
          </cell>
          <cell r="B105" t="str">
            <v>Brackin MetalWorks LLC</v>
          </cell>
        </row>
        <row r="106">
          <cell r="A106">
            <v>105</v>
          </cell>
          <cell r="B106" t="str">
            <v>Bradley Stone</v>
          </cell>
        </row>
        <row r="107">
          <cell r="A107">
            <v>106</v>
          </cell>
          <cell r="B107" t="str">
            <v>Brainard Rivet</v>
          </cell>
        </row>
        <row r="108">
          <cell r="A108">
            <v>107</v>
          </cell>
          <cell r="B108" t="str">
            <v>Bridgestone/Firestone</v>
          </cell>
        </row>
        <row r="109">
          <cell r="A109">
            <v>108</v>
          </cell>
          <cell r="B109" t="str">
            <v>Broco Products</v>
          </cell>
        </row>
        <row r="110">
          <cell r="A110">
            <v>109</v>
          </cell>
          <cell r="B110" t="str">
            <v>Brost Foundry</v>
          </cell>
        </row>
        <row r="111">
          <cell r="A111">
            <v>110</v>
          </cell>
          <cell r="B111" t="str">
            <v>Bryan Plastics Processing LLC</v>
          </cell>
        </row>
        <row r="112">
          <cell r="A112">
            <v>111</v>
          </cell>
          <cell r="B112" t="str">
            <v>Buckeye Polymers, Inc</v>
          </cell>
        </row>
        <row r="113">
          <cell r="A113">
            <v>112</v>
          </cell>
          <cell r="B113" t="str">
            <v>Buckeye Tin</v>
          </cell>
        </row>
        <row r="114">
          <cell r="A114">
            <v>113</v>
          </cell>
          <cell r="B114" t="str">
            <v>Bullseye Calibration</v>
          </cell>
        </row>
        <row r="115">
          <cell r="A115">
            <v>114</v>
          </cell>
          <cell r="B115" t="str">
            <v>BULU</v>
          </cell>
        </row>
        <row r="116">
          <cell r="A116">
            <v>115</v>
          </cell>
          <cell r="B116" t="str">
            <v>Busch Cremation</v>
          </cell>
        </row>
        <row r="117">
          <cell r="A117">
            <v>116</v>
          </cell>
          <cell r="B117" t="str">
            <v>BV MFG Inc</v>
          </cell>
        </row>
        <row r="118">
          <cell r="A118">
            <v>117</v>
          </cell>
          <cell r="B118" t="str">
            <v>C&amp;B Machine Inc</v>
          </cell>
        </row>
        <row r="119">
          <cell r="A119">
            <v>118</v>
          </cell>
          <cell r="B119" t="str">
            <v>C.H. Reed, Inc.</v>
          </cell>
        </row>
        <row r="120">
          <cell r="A120">
            <v>119</v>
          </cell>
          <cell r="B120" t="str">
            <v>Cabmat</v>
          </cell>
        </row>
        <row r="121">
          <cell r="A121">
            <v>120</v>
          </cell>
          <cell r="B121" t="str">
            <v>Cage Gear and Machine, LLC</v>
          </cell>
        </row>
        <row r="122">
          <cell r="A122">
            <v>121</v>
          </cell>
          <cell r="B122" t="str">
            <v>Caliber Mold &amp; Machine, Inc</v>
          </cell>
        </row>
        <row r="123">
          <cell r="A123">
            <v>122</v>
          </cell>
          <cell r="B123" t="str">
            <v>Canton Elevator</v>
          </cell>
        </row>
        <row r="124">
          <cell r="A124">
            <v>123</v>
          </cell>
          <cell r="B124" t="str">
            <v>Capital Tire</v>
          </cell>
        </row>
        <row r="125">
          <cell r="A125">
            <v>124</v>
          </cell>
          <cell r="B125" t="str">
            <v>Capitol Steel Corp.</v>
          </cell>
        </row>
        <row r="126">
          <cell r="A126">
            <v>125</v>
          </cell>
          <cell r="B126" t="str">
            <v>Cardinal Group, Inc</v>
          </cell>
        </row>
        <row r="127">
          <cell r="A127">
            <v>126</v>
          </cell>
          <cell r="B127" t="str">
            <v>Cargill Incorporated</v>
          </cell>
        </row>
        <row r="128">
          <cell r="A128">
            <v>127</v>
          </cell>
          <cell r="B128" t="str">
            <v>Carlisle Brake &amp; Friction</v>
          </cell>
        </row>
        <row r="129">
          <cell r="A129">
            <v>128</v>
          </cell>
          <cell r="B129" t="str">
            <v>Casco USA</v>
          </cell>
        </row>
        <row r="130">
          <cell r="A130">
            <v>129</v>
          </cell>
          <cell r="B130" t="str">
            <v>Cassano's Pizza</v>
          </cell>
        </row>
        <row r="131">
          <cell r="A131">
            <v>130</v>
          </cell>
          <cell r="B131" t="str">
            <v>Castle Heating &amp; Air Inc.</v>
          </cell>
        </row>
        <row r="132">
          <cell r="A132">
            <v>131</v>
          </cell>
          <cell r="B132" t="str">
            <v>Cavanaugh Building</v>
          </cell>
        </row>
        <row r="133">
          <cell r="A133">
            <v>132</v>
          </cell>
          <cell r="B133" t="str">
            <v>Center Automotive Machine</v>
          </cell>
        </row>
        <row r="134">
          <cell r="A134">
            <v>133</v>
          </cell>
          <cell r="B134" t="str">
            <v>Chapin Custom Molding</v>
          </cell>
        </row>
        <row r="135">
          <cell r="A135">
            <v>134</v>
          </cell>
          <cell r="B135" t="str">
            <v>Chapman Associates</v>
          </cell>
        </row>
        <row r="136">
          <cell r="A136">
            <v>135</v>
          </cell>
          <cell r="B136" t="str">
            <v>CHOF School</v>
          </cell>
        </row>
        <row r="137">
          <cell r="A137">
            <v>136</v>
          </cell>
          <cell r="B137" t="str">
            <v>Choice Central Air</v>
          </cell>
        </row>
        <row r="138">
          <cell r="A138">
            <v>137</v>
          </cell>
          <cell r="B138" t="str">
            <v>Circle Mold &amp; Machine Co</v>
          </cell>
        </row>
        <row r="139">
          <cell r="A139">
            <v>138</v>
          </cell>
          <cell r="B139" t="str">
            <v>Circon Environmental</v>
          </cell>
        </row>
        <row r="140">
          <cell r="A140">
            <v>139</v>
          </cell>
          <cell r="B140" t="str">
            <v>City Blox</v>
          </cell>
        </row>
        <row r="141">
          <cell r="A141">
            <v>140</v>
          </cell>
          <cell r="B141" t="str">
            <v>Clampco Products Inc</v>
          </cell>
        </row>
        <row r="142">
          <cell r="A142">
            <v>141</v>
          </cell>
          <cell r="B142" t="str">
            <v>Cleveland Canvas Goods Mfg Co.</v>
          </cell>
        </row>
        <row r="143">
          <cell r="A143">
            <v>142</v>
          </cell>
          <cell r="B143" t="str">
            <v>Cleveland Industrial Innovation</v>
          </cell>
        </row>
        <row r="144">
          <cell r="A144">
            <v>143</v>
          </cell>
          <cell r="B144" t="str">
            <v>Cleveland Punch and Die Company</v>
          </cell>
        </row>
        <row r="145">
          <cell r="A145">
            <v>144</v>
          </cell>
          <cell r="B145" t="str">
            <v>Cline Mechanical</v>
          </cell>
        </row>
        <row r="146">
          <cell r="A146">
            <v>145</v>
          </cell>
          <cell r="B146" t="str">
            <v>Clinton Aluminum</v>
          </cell>
        </row>
        <row r="147">
          <cell r="A147">
            <v>146</v>
          </cell>
          <cell r="B147" t="str">
            <v>Closet Factory</v>
          </cell>
        </row>
        <row r="148">
          <cell r="A148">
            <v>147</v>
          </cell>
          <cell r="B148" t="str">
            <v>CLS Industrial</v>
          </cell>
        </row>
        <row r="149">
          <cell r="A149">
            <v>148</v>
          </cell>
          <cell r="B149" t="str">
            <v>Coast International Services, Inc.</v>
          </cell>
        </row>
        <row r="150">
          <cell r="A150">
            <v>149</v>
          </cell>
          <cell r="B150" t="str">
            <v>Cold Headed Fasteners</v>
          </cell>
        </row>
        <row r="151">
          <cell r="A151">
            <v>150</v>
          </cell>
          <cell r="B151" t="str">
            <v>Coleman Spohn Corp</v>
          </cell>
        </row>
        <row r="152">
          <cell r="A152">
            <v>151</v>
          </cell>
          <cell r="B152" t="str">
            <v>Coleman Systems, Inc</v>
          </cell>
        </row>
        <row r="153">
          <cell r="A153">
            <v>152</v>
          </cell>
          <cell r="B153" t="str">
            <v>Color Matrix</v>
          </cell>
        </row>
        <row r="154">
          <cell r="A154">
            <v>153</v>
          </cell>
          <cell r="B154" t="str">
            <v>Columbia Pulp</v>
          </cell>
        </row>
        <row r="155">
          <cell r="A155">
            <v>154</v>
          </cell>
          <cell r="B155" t="str">
            <v>Conduit Direct Group</v>
          </cell>
        </row>
        <row r="156">
          <cell r="A156">
            <v>155</v>
          </cell>
          <cell r="B156" t="str">
            <v>Cooper Tire</v>
          </cell>
        </row>
        <row r="157">
          <cell r="A157">
            <v>156</v>
          </cell>
          <cell r="B157" t="str">
            <v>Core Molding Technologies</v>
          </cell>
        </row>
        <row r="158">
          <cell r="A158">
            <v>157</v>
          </cell>
          <cell r="B158" t="str">
            <v>Cornwell Quality Tools Co</v>
          </cell>
        </row>
        <row r="159">
          <cell r="A159">
            <v>158</v>
          </cell>
          <cell r="B159" t="str">
            <v>Coronado Steel Co</v>
          </cell>
        </row>
        <row r="160">
          <cell r="A160">
            <v>159</v>
          </cell>
          <cell r="B160" t="str">
            <v>Corporate Electric Company, LLC</v>
          </cell>
        </row>
        <row r="161">
          <cell r="A161">
            <v>160</v>
          </cell>
          <cell r="B161" t="str">
            <v>Cosar Mold Inc</v>
          </cell>
        </row>
        <row r="162">
          <cell r="A162">
            <v>161</v>
          </cell>
          <cell r="B162" t="str">
            <v>Cottage Industries</v>
          </cell>
        </row>
        <row r="163">
          <cell r="A163">
            <v>162</v>
          </cell>
          <cell r="B163" t="str">
            <v>Crafco Inc</v>
          </cell>
        </row>
        <row r="164">
          <cell r="A164">
            <v>163</v>
          </cell>
          <cell r="B164" t="str">
            <v>Creative Carbide</v>
          </cell>
        </row>
        <row r="165">
          <cell r="A165">
            <v>164</v>
          </cell>
          <cell r="B165" t="str">
            <v>Creco</v>
          </cell>
        </row>
        <row r="166">
          <cell r="A166">
            <v>165</v>
          </cell>
          <cell r="B166" t="str">
            <v>CREO Group</v>
          </cell>
        </row>
        <row r="167">
          <cell r="A167">
            <v>166</v>
          </cell>
          <cell r="B167" t="str">
            <v>Criterion Machinery Inc.</v>
          </cell>
        </row>
        <row r="168">
          <cell r="A168">
            <v>167</v>
          </cell>
          <cell r="B168" t="str">
            <v>Cromwell Tool</v>
          </cell>
        </row>
        <row r="169">
          <cell r="A169">
            <v>168</v>
          </cell>
          <cell r="B169" t="str">
            <v>Crown Composites Tooling</v>
          </cell>
        </row>
        <row r="170">
          <cell r="A170">
            <v>169</v>
          </cell>
          <cell r="B170" t="str">
            <v>CSM Fastener Products Co</v>
          </cell>
        </row>
        <row r="171">
          <cell r="A171">
            <v>170</v>
          </cell>
          <cell r="B171" t="str">
            <v>Curbell Plastics</v>
          </cell>
        </row>
        <row r="172">
          <cell r="A172">
            <v>171</v>
          </cell>
          <cell r="B172" t="str">
            <v>Curtis-Wright Inc</v>
          </cell>
        </row>
        <row r="173">
          <cell r="A173">
            <v>172</v>
          </cell>
          <cell r="B173" t="str">
            <v>Custom Maintenance LLC</v>
          </cell>
        </row>
        <row r="174">
          <cell r="A174">
            <v>173</v>
          </cell>
          <cell r="B174" t="str">
            <v>Custom Pultrusions</v>
          </cell>
        </row>
        <row r="175">
          <cell r="A175">
            <v>174</v>
          </cell>
          <cell r="B175" t="str">
            <v>D&amp;D Winco2</v>
          </cell>
        </row>
        <row r="176">
          <cell r="A176">
            <v>175</v>
          </cell>
          <cell r="B176" t="str">
            <v>D&amp;L Custom Fabrication Inc</v>
          </cell>
        </row>
        <row r="177">
          <cell r="A177">
            <v>176</v>
          </cell>
          <cell r="B177" t="str">
            <v>Dacon Industries</v>
          </cell>
        </row>
        <row r="178">
          <cell r="A178">
            <v>177</v>
          </cell>
          <cell r="B178" t="str">
            <v>Dale Adams Enterprises</v>
          </cell>
        </row>
        <row r="179">
          <cell r="A179">
            <v>178</v>
          </cell>
          <cell r="B179" t="str">
            <v>Damon LLC</v>
          </cell>
        </row>
        <row r="180">
          <cell r="A180">
            <v>179</v>
          </cell>
          <cell r="B180" t="str">
            <v>Daniluk Corporation</v>
          </cell>
        </row>
        <row r="181">
          <cell r="A181">
            <v>180</v>
          </cell>
          <cell r="B181" t="str">
            <v>Dannemiller Diversified</v>
          </cell>
        </row>
        <row r="182">
          <cell r="A182">
            <v>181</v>
          </cell>
          <cell r="B182" t="str">
            <v>Dash Ohio</v>
          </cell>
        </row>
        <row r="183">
          <cell r="A183">
            <v>182</v>
          </cell>
          <cell r="B183" t="str">
            <v>Dawson A Texas Company</v>
          </cell>
        </row>
        <row r="184">
          <cell r="A184">
            <v>183</v>
          </cell>
          <cell r="B184" t="str">
            <v>Dedicated Transport Services Inc</v>
          </cell>
        </row>
        <row r="185">
          <cell r="A185">
            <v>184</v>
          </cell>
          <cell r="B185" t="str">
            <v>Defontaine S.A.</v>
          </cell>
        </row>
        <row r="186">
          <cell r="A186">
            <v>185</v>
          </cell>
          <cell r="B186" t="str">
            <v>Demag Cranes</v>
          </cell>
        </row>
        <row r="187">
          <cell r="A187">
            <v>186</v>
          </cell>
          <cell r="B187" t="str">
            <v>Demicos Pizzeria LTD</v>
          </cell>
        </row>
        <row r="188">
          <cell r="A188">
            <v>187</v>
          </cell>
          <cell r="B188" t="str">
            <v>Design Molded Plastics</v>
          </cell>
        </row>
        <row r="189">
          <cell r="A189">
            <v>188</v>
          </cell>
          <cell r="B189" t="str">
            <v>DHL E-Commerce</v>
          </cell>
        </row>
        <row r="190">
          <cell r="A190">
            <v>189</v>
          </cell>
          <cell r="B190" t="str">
            <v>Diamond Rigging Co</v>
          </cell>
        </row>
        <row r="191">
          <cell r="A191">
            <v>190</v>
          </cell>
          <cell r="B191" t="str">
            <v>Die Cutting Advisors</v>
          </cell>
        </row>
        <row r="192">
          <cell r="A192">
            <v>191</v>
          </cell>
          <cell r="B192" t="str">
            <v>Diesel Service and Supply</v>
          </cell>
        </row>
        <row r="193">
          <cell r="A193">
            <v>192</v>
          </cell>
          <cell r="B193" t="str">
            <v>DiGaimmarino Stone Surfaces</v>
          </cell>
        </row>
        <row r="194">
          <cell r="A194">
            <v>193</v>
          </cell>
          <cell r="B194" t="str">
            <v>Dinesol Plastics Inc</v>
          </cell>
        </row>
        <row r="195">
          <cell r="A195">
            <v>194</v>
          </cell>
          <cell r="B195" t="str">
            <v>Divesta</v>
          </cell>
        </row>
        <row r="196">
          <cell r="A196">
            <v>195</v>
          </cell>
          <cell r="B196" t="str">
            <v>Dixie Reproductions</v>
          </cell>
        </row>
        <row r="197">
          <cell r="A197">
            <v>196</v>
          </cell>
          <cell r="B197" t="str">
            <v>DK Manufacturing</v>
          </cell>
        </row>
        <row r="198">
          <cell r="A198">
            <v>197</v>
          </cell>
          <cell r="B198" t="str">
            <v>DM Industrial</v>
          </cell>
        </row>
        <row r="199">
          <cell r="A199">
            <v>198</v>
          </cell>
          <cell r="B199" t="str">
            <v>Dongo Tool Inc</v>
          </cell>
        </row>
        <row r="200">
          <cell r="A200">
            <v>199</v>
          </cell>
          <cell r="B200" t="str">
            <v>Doug Beat</v>
          </cell>
        </row>
        <row r="201">
          <cell r="A201">
            <v>200</v>
          </cell>
          <cell r="B201" t="str">
            <v>Dover Hydraulics, Inc</v>
          </cell>
        </row>
        <row r="202">
          <cell r="A202">
            <v>201</v>
          </cell>
          <cell r="B202" t="str">
            <v>DPA Machinery</v>
          </cell>
        </row>
        <row r="203">
          <cell r="A203">
            <v>202</v>
          </cell>
          <cell r="B203" t="str">
            <v>DriV Automotive Inc</v>
          </cell>
        </row>
        <row r="204">
          <cell r="A204">
            <v>203</v>
          </cell>
          <cell r="B204" t="str">
            <v>Drummond Uniform</v>
          </cell>
        </row>
        <row r="205">
          <cell r="A205">
            <v>204</v>
          </cell>
          <cell r="B205" t="str">
            <v>Durajoint Concrete Accessories</v>
          </cell>
        </row>
        <row r="206">
          <cell r="A206">
            <v>205</v>
          </cell>
          <cell r="B206" t="str">
            <v>Durbin Equipment Sales</v>
          </cell>
        </row>
        <row r="207">
          <cell r="A207">
            <v>206</v>
          </cell>
          <cell r="B207" t="str">
            <v>Durex Industries</v>
          </cell>
        </row>
        <row r="208">
          <cell r="A208">
            <v>207</v>
          </cell>
          <cell r="B208" t="str">
            <v>Dutchcraft Mattress Co.</v>
          </cell>
        </row>
        <row r="209">
          <cell r="A209">
            <v>208</v>
          </cell>
          <cell r="B209" t="str">
            <v>Dutton Electric</v>
          </cell>
        </row>
        <row r="210">
          <cell r="A210">
            <v>209</v>
          </cell>
          <cell r="B210" t="str">
            <v>Dynamic Systems Inc.</v>
          </cell>
        </row>
        <row r="211">
          <cell r="A211">
            <v>210</v>
          </cell>
          <cell r="B211" t="str">
            <v>E &amp; T Plastics</v>
          </cell>
        </row>
        <row r="212">
          <cell r="A212">
            <v>211</v>
          </cell>
          <cell r="B212" t="str">
            <v>Eagle Group LTD</v>
          </cell>
        </row>
        <row r="213">
          <cell r="A213">
            <v>212</v>
          </cell>
          <cell r="B213" t="str">
            <v>Earle M. Jorgensen Co.</v>
          </cell>
        </row>
        <row r="214">
          <cell r="A214">
            <v>213</v>
          </cell>
          <cell r="B214" t="str">
            <v>Earthwise Allies</v>
          </cell>
        </row>
        <row r="215">
          <cell r="A215">
            <v>214</v>
          </cell>
          <cell r="B215" t="str">
            <v>Eaton Corporation</v>
          </cell>
        </row>
        <row r="216">
          <cell r="A216">
            <v>215</v>
          </cell>
          <cell r="B216" t="str">
            <v>Ed Huxel</v>
          </cell>
        </row>
        <row r="217">
          <cell r="A217">
            <v>216</v>
          </cell>
          <cell r="B217" t="str">
            <v>Edge Plastics</v>
          </cell>
        </row>
        <row r="218">
          <cell r="A218">
            <v>217</v>
          </cell>
          <cell r="B218" t="str">
            <v>Edward Dawson</v>
          </cell>
        </row>
        <row r="219">
          <cell r="A219">
            <v>218</v>
          </cell>
          <cell r="B219" t="str">
            <v>Electra Cord Inc</v>
          </cell>
        </row>
        <row r="220">
          <cell r="A220">
            <v>219</v>
          </cell>
          <cell r="B220" t="str">
            <v>Elgin Fastener Group</v>
          </cell>
        </row>
        <row r="221">
          <cell r="A221">
            <v>220</v>
          </cell>
          <cell r="B221" t="str">
            <v>Elite Machinery Systems LLC</v>
          </cell>
        </row>
        <row r="222">
          <cell r="A222">
            <v>221</v>
          </cell>
          <cell r="B222" t="str">
            <v>Elite Stainless Steel</v>
          </cell>
        </row>
        <row r="223">
          <cell r="A223">
            <v>222</v>
          </cell>
          <cell r="B223" t="str">
            <v>Ely Enterprises</v>
          </cell>
        </row>
        <row r="224">
          <cell r="A224">
            <v>223</v>
          </cell>
          <cell r="B224" t="str">
            <v>Emerald Machinery Corp</v>
          </cell>
        </row>
        <row r="225">
          <cell r="A225">
            <v>224</v>
          </cell>
          <cell r="B225" t="str">
            <v>Emerson Technologies</v>
          </cell>
        </row>
        <row r="226">
          <cell r="A226">
            <v>225</v>
          </cell>
          <cell r="B226" t="str">
            <v>Empire Castings Co.</v>
          </cell>
        </row>
        <row r="227">
          <cell r="A227">
            <v>226</v>
          </cell>
          <cell r="B227" t="str">
            <v>Encore Plastics</v>
          </cell>
        </row>
        <row r="228">
          <cell r="A228">
            <v>227</v>
          </cell>
          <cell r="B228" t="str">
            <v>Energy Control</v>
          </cell>
        </row>
        <row r="229">
          <cell r="A229">
            <v>228</v>
          </cell>
          <cell r="B229" t="str">
            <v>Energy Focus</v>
          </cell>
        </row>
        <row r="230">
          <cell r="A230">
            <v>229</v>
          </cell>
          <cell r="B230" t="str">
            <v>Engineered Plastic Components</v>
          </cell>
        </row>
        <row r="231">
          <cell r="A231">
            <v>230</v>
          </cell>
          <cell r="B231" t="str">
            <v>Enriquez Materials and Quilting</v>
          </cell>
        </row>
        <row r="232">
          <cell r="A232">
            <v>231</v>
          </cell>
          <cell r="B232" t="str">
            <v>Enterprise Plastics</v>
          </cell>
        </row>
        <row r="233">
          <cell r="A233">
            <v>232</v>
          </cell>
          <cell r="B233" t="str">
            <v>Envalior (Auction)</v>
          </cell>
        </row>
        <row r="234">
          <cell r="A234">
            <v>233</v>
          </cell>
          <cell r="B234" t="str">
            <v>Epiroc</v>
          </cell>
        </row>
        <row r="235">
          <cell r="A235">
            <v>234</v>
          </cell>
          <cell r="B235" t="str">
            <v>Equipment Traders</v>
          </cell>
        </row>
        <row r="236">
          <cell r="A236">
            <v>235</v>
          </cell>
          <cell r="B236" t="str">
            <v>Equipment Trading Co</v>
          </cell>
        </row>
        <row r="237">
          <cell r="A237">
            <v>236</v>
          </cell>
          <cell r="B237" t="str">
            <v>EquipNet, Inc.</v>
          </cell>
        </row>
        <row r="238">
          <cell r="A238">
            <v>237</v>
          </cell>
          <cell r="B238" t="str">
            <v>Essential Sealing Products</v>
          </cell>
        </row>
        <row r="239">
          <cell r="A239">
            <v>238</v>
          </cell>
          <cell r="B239" t="str">
            <v>Eubanks Electric LLC</v>
          </cell>
        </row>
        <row r="240">
          <cell r="A240">
            <v>239</v>
          </cell>
          <cell r="B240" t="str">
            <v>Eurecat US</v>
          </cell>
        </row>
        <row r="241">
          <cell r="A241">
            <v>240</v>
          </cell>
          <cell r="B241" t="str">
            <v>Evans Industries</v>
          </cell>
        </row>
        <row r="242">
          <cell r="A242">
            <v>241</v>
          </cell>
          <cell r="B242" t="str">
            <v>Ever Ready Pin &amp; Manufacturing</v>
          </cell>
        </row>
        <row r="243">
          <cell r="A243">
            <v>242</v>
          </cell>
          <cell r="B243" t="str">
            <v>Everett Industries</v>
          </cell>
        </row>
        <row r="244">
          <cell r="A244">
            <v>243</v>
          </cell>
          <cell r="B244" t="str">
            <v>Evolutions</v>
          </cell>
        </row>
        <row r="245">
          <cell r="A245">
            <v>244</v>
          </cell>
          <cell r="B245" t="str">
            <v>EX Factory</v>
          </cell>
        </row>
        <row r="246">
          <cell r="A246">
            <v>245</v>
          </cell>
          <cell r="B246" t="str">
            <v>Excel AG Corp</v>
          </cell>
        </row>
        <row r="247">
          <cell r="A247">
            <v>246</v>
          </cell>
          <cell r="B247" t="str">
            <v>Excelsior Marking (Customer)</v>
          </cell>
        </row>
        <row r="248">
          <cell r="A248">
            <v>247</v>
          </cell>
          <cell r="B248" t="str">
            <v>Express Packaging</v>
          </cell>
        </row>
        <row r="249">
          <cell r="A249">
            <v>248</v>
          </cell>
          <cell r="B249" t="str">
            <v>Expressway Logistics</v>
          </cell>
        </row>
        <row r="250">
          <cell r="A250">
            <v>249</v>
          </cell>
          <cell r="B250" t="str">
            <v>ExSpar Inc</v>
          </cell>
        </row>
        <row r="251">
          <cell r="A251">
            <v>250</v>
          </cell>
          <cell r="B251" t="str">
            <v>Falcon Industries</v>
          </cell>
        </row>
        <row r="252">
          <cell r="A252">
            <v>251</v>
          </cell>
          <cell r="B252" t="str">
            <v>Falls Stamping &amp; Welding Co</v>
          </cell>
        </row>
        <row r="253">
          <cell r="A253">
            <v>252</v>
          </cell>
          <cell r="B253" t="str">
            <v>Fastener Technology</v>
          </cell>
        </row>
        <row r="254">
          <cell r="A254">
            <v>253</v>
          </cell>
          <cell r="B254" t="str">
            <v>FastSigns Columbus</v>
          </cell>
        </row>
        <row r="255">
          <cell r="A255">
            <v>254</v>
          </cell>
          <cell r="B255" t="str">
            <v>Fazio Mechanical</v>
          </cell>
        </row>
        <row r="256">
          <cell r="A256">
            <v>255</v>
          </cell>
          <cell r="B256" t="str">
            <v>Federal Equipment</v>
          </cell>
        </row>
        <row r="257">
          <cell r="A257">
            <v>256</v>
          </cell>
          <cell r="B257" t="str">
            <v>Fenner Dunlop Toledo</v>
          </cell>
        </row>
        <row r="258">
          <cell r="A258">
            <v>257</v>
          </cell>
          <cell r="B258" t="str">
            <v>Ferriot Inc</v>
          </cell>
        </row>
        <row r="259">
          <cell r="A259">
            <v>258</v>
          </cell>
          <cell r="B259" t="str">
            <v>Filler Neck Supply</v>
          </cell>
        </row>
        <row r="260">
          <cell r="A260">
            <v>259</v>
          </cell>
          <cell r="B260" t="str">
            <v>First Class Trading LLC</v>
          </cell>
        </row>
        <row r="261">
          <cell r="A261">
            <v>260</v>
          </cell>
          <cell r="B261" t="str">
            <v>Fives Intalogistics Corp</v>
          </cell>
        </row>
        <row r="262">
          <cell r="A262">
            <v>261</v>
          </cell>
          <cell r="B262" t="str">
            <v>FL Tool Holders</v>
          </cell>
        </row>
        <row r="263">
          <cell r="A263">
            <v>262</v>
          </cell>
          <cell r="B263" t="str">
            <v>Flambeau Inc</v>
          </cell>
        </row>
        <row r="264">
          <cell r="A264">
            <v>263</v>
          </cell>
          <cell r="B264" t="str">
            <v>Flexcraft</v>
          </cell>
        </row>
        <row r="265">
          <cell r="A265">
            <v>264</v>
          </cell>
          <cell r="B265" t="str">
            <v>Flohr Machine Company</v>
          </cell>
        </row>
        <row r="266">
          <cell r="A266">
            <v>265</v>
          </cell>
          <cell r="B266" t="str">
            <v>Flow Polymer</v>
          </cell>
        </row>
        <row r="267">
          <cell r="A267">
            <v>266</v>
          </cell>
          <cell r="B267" t="str">
            <v>Foundation Manufacturing Inc</v>
          </cell>
        </row>
        <row r="268">
          <cell r="A268">
            <v>267</v>
          </cell>
          <cell r="B268" t="str">
            <v>Foundations Industries</v>
          </cell>
        </row>
        <row r="269">
          <cell r="A269">
            <v>268</v>
          </cell>
          <cell r="B269" t="str">
            <v>Four Seasons Manufacturing</v>
          </cell>
        </row>
        <row r="270">
          <cell r="A270">
            <v>269</v>
          </cell>
          <cell r="B270" t="str">
            <v>FP Miller Co</v>
          </cell>
        </row>
        <row r="271">
          <cell r="A271">
            <v>270</v>
          </cell>
          <cell r="B271" t="str">
            <v>Freedom Forklift Sales</v>
          </cell>
        </row>
        <row r="272">
          <cell r="A272">
            <v>271</v>
          </cell>
          <cell r="B272" t="str">
            <v>Freund Baking Company</v>
          </cell>
        </row>
        <row r="273">
          <cell r="A273">
            <v>272</v>
          </cell>
          <cell r="B273" t="str">
            <v>Fukuvi USA Inc</v>
          </cell>
        </row>
        <row r="274">
          <cell r="A274">
            <v>273</v>
          </cell>
          <cell r="B274" t="str">
            <v>Fulton Properties of Ohio, LLC</v>
          </cell>
        </row>
        <row r="275">
          <cell r="A275">
            <v>274</v>
          </cell>
          <cell r="B275" t="str">
            <v>Fun-N-Stuff</v>
          </cell>
        </row>
        <row r="276">
          <cell r="A276">
            <v>275</v>
          </cell>
          <cell r="B276" t="str">
            <v>G3 Mixing Technologies</v>
          </cell>
        </row>
        <row r="277">
          <cell r="A277">
            <v>276</v>
          </cell>
          <cell r="B277" t="str">
            <v>Gahanna-Jefferson City Schools</v>
          </cell>
        </row>
        <row r="278">
          <cell r="A278">
            <v>277</v>
          </cell>
          <cell r="B278" t="str">
            <v>GCS Industrial Services, LTD</v>
          </cell>
        </row>
        <row r="279">
          <cell r="A279">
            <v>278</v>
          </cell>
          <cell r="B279" t="str">
            <v>Gear Products</v>
          </cell>
        </row>
        <row r="280">
          <cell r="A280">
            <v>279</v>
          </cell>
          <cell r="B280" t="str">
            <v>GED Integrated Solutions</v>
          </cell>
        </row>
        <row r="281">
          <cell r="A281">
            <v>280</v>
          </cell>
          <cell r="B281" t="str">
            <v>General Aluminum</v>
          </cell>
        </row>
        <row r="282">
          <cell r="A282">
            <v>281</v>
          </cell>
          <cell r="B282" t="str">
            <v>General Die Casters, Inc</v>
          </cell>
        </row>
        <row r="283">
          <cell r="A283">
            <v>282</v>
          </cell>
          <cell r="B283" t="str">
            <v>Genesis Plastics Technologies</v>
          </cell>
        </row>
        <row r="284">
          <cell r="A284">
            <v>283</v>
          </cell>
          <cell r="B284" t="str">
            <v>Gens Edifice</v>
          </cell>
        </row>
        <row r="285">
          <cell r="A285">
            <v>284</v>
          </cell>
          <cell r="B285" t="str">
            <v>Geo-Tech Polymers</v>
          </cell>
        </row>
        <row r="286">
          <cell r="A286">
            <v>285</v>
          </cell>
          <cell r="B286" t="str">
            <v>Georgia Pacific</v>
          </cell>
        </row>
        <row r="287">
          <cell r="A287">
            <v>286</v>
          </cell>
          <cell r="B287" t="str">
            <v>Gerber Wood Products</v>
          </cell>
        </row>
        <row r="288">
          <cell r="A288">
            <v>287</v>
          </cell>
          <cell r="B288" t="str">
            <v>Giancola Composites, Inc</v>
          </cell>
        </row>
        <row r="289">
          <cell r="A289">
            <v>288</v>
          </cell>
          <cell r="B289" t="str">
            <v>Glazing Systems Inc</v>
          </cell>
        </row>
        <row r="290">
          <cell r="A290">
            <v>289</v>
          </cell>
          <cell r="B290" t="str">
            <v>Global Plastics Machinery, Inc</v>
          </cell>
        </row>
        <row r="291">
          <cell r="A291">
            <v>290</v>
          </cell>
          <cell r="B291" t="str">
            <v>GMRC Sales, Inc</v>
          </cell>
        </row>
        <row r="292">
          <cell r="A292">
            <v>291</v>
          </cell>
          <cell r="B292" t="str">
            <v>Gojo Industries Inc</v>
          </cell>
        </row>
        <row r="293">
          <cell r="A293">
            <v>292</v>
          </cell>
          <cell r="B293" t="str">
            <v>Golden Ratio Management Corporation</v>
          </cell>
        </row>
        <row r="294">
          <cell r="A294">
            <v>293</v>
          </cell>
          <cell r="B294" t="str">
            <v>Gomaplast Machinery, Inc</v>
          </cell>
        </row>
        <row r="295">
          <cell r="A295">
            <v>294</v>
          </cell>
          <cell r="B295" t="str">
            <v>Goodyear Tire &amp; Rubber Company</v>
          </cell>
        </row>
        <row r="296">
          <cell r="A296">
            <v>295</v>
          </cell>
          <cell r="B296" t="str">
            <v>Grace Bible Church</v>
          </cell>
        </row>
        <row r="297">
          <cell r="A297">
            <v>296</v>
          </cell>
          <cell r="B297" t="str">
            <v>Grand Haven Grinding</v>
          </cell>
        </row>
        <row r="298">
          <cell r="A298">
            <v>297</v>
          </cell>
          <cell r="B298" t="str">
            <v>Grand Marshall Machinery</v>
          </cell>
        </row>
        <row r="299">
          <cell r="A299">
            <v>298</v>
          </cell>
          <cell r="B299" t="str">
            <v>Gravure, Inc</v>
          </cell>
        </row>
        <row r="300">
          <cell r="A300">
            <v>299</v>
          </cell>
          <cell r="B300" t="str">
            <v>Green Country Compressor Service</v>
          </cell>
        </row>
        <row r="301">
          <cell r="A301">
            <v>300</v>
          </cell>
          <cell r="B301" t="str">
            <v>Greenliner, LLC</v>
          </cell>
        </row>
        <row r="302">
          <cell r="A302">
            <v>301</v>
          </cell>
          <cell r="B302" t="str">
            <v>GS Steel</v>
          </cell>
        </row>
        <row r="303">
          <cell r="A303">
            <v>302</v>
          </cell>
          <cell r="B303" t="str">
            <v>Haas Factory Outlet</v>
          </cell>
        </row>
        <row r="304">
          <cell r="A304">
            <v>303</v>
          </cell>
          <cell r="B304" t="str">
            <v>Harbor Castings</v>
          </cell>
        </row>
        <row r="305">
          <cell r="A305">
            <v>304</v>
          </cell>
          <cell r="B305" t="str">
            <v>Harden Constructors Inc</v>
          </cell>
        </row>
        <row r="306">
          <cell r="A306">
            <v>305</v>
          </cell>
          <cell r="B306" t="str">
            <v>Hariton Machinery</v>
          </cell>
        </row>
        <row r="307">
          <cell r="A307">
            <v>306</v>
          </cell>
          <cell r="B307" t="str">
            <v>Harrop Industries, Inc</v>
          </cell>
        </row>
        <row r="308">
          <cell r="A308">
            <v>307</v>
          </cell>
          <cell r="B308" t="str">
            <v>Haviland Plastic Products</v>
          </cell>
        </row>
        <row r="309">
          <cell r="A309">
            <v>308</v>
          </cell>
          <cell r="B309" t="str">
            <v>HB Chemical</v>
          </cell>
        </row>
        <row r="310">
          <cell r="A310">
            <v>309</v>
          </cell>
          <cell r="B310" t="str">
            <v>Heatmax Heaters</v>
          </cell>
        </row>
        <row r="311">
          <cell r="A311">
            <v>310</v>
          </cell>
          <cell r="B311" t="str">
            <v>HEH Group</v>
          </cell>
        </row>
        <row r="312">
          <cell r="A312">
            <v>311</v>
          </cell>
          <cell r="B312" t="str">
            <v>Hendrickson Trailer</v>
          </cell>
        </row>
        <row r="313">
          <cell r="A313">
            <v>312</v>
          </cell>
          <cell r="B313" t="str">
            <v>Heroux-Devtek Inc</v>
          </cell>
        </row>
        <row r="314">
          <cell r="A314">
            <v>313</v>
          </cell>
          <cell r="B314" t="str">
            <v>Hi-Tech Machinery, Inc</v>
          </cell>
        </row>
        <row r="315">
          <cell r="A315">
            <v>314</v>
          </cell>
          <cell r="B315" t="str">
            <v>High Performance Alloys</v>
          </cell>
        </row>
        <row r="316">
          <cell r="A316">
            <v>315</v>
          </cell>
          <cell r="B316" t="str">
            <v>Hilton Columbus</v>
          </cell>
        </row>
        <row r="317">
          <cell r="A317">
            <v>316</v>
          </cell>
          <cell r="B317" t="str">
            <v>Hostar International</v>
          </cell>
        </row>
        <row r="318">
          <cell r="A318">
            <v>317</v>
          </cell>
          <cell r="B318" t="str">
            <v>HRE East (Ultra Tech Machinery)</v>
          </cell>
        </row>
        <row r="319">
          <cell r="A319">
            <v>318</v>
          </cell>
          <cell r="B319" t="str">
            <v>Huddleston Machinery Moving</v>
          </cell>
        </row>
        <row r="320">
          <cell r="A320">
            <v>319</v>
          </cell>
          <cell r="B320" t="str">
            <v>Hummel Pet Services</v>
          </cell>
        </row>
        <row r="321">
          <cell r="A321">
            <v>320</v>
          </cell>
          <cell r="B321" t="str">
            <v>Hwacheon/Motch &amp; Eichele</v>
          </cell>
        </row>
        <row r="322">
          <cell r="A322">
            <v>321</v>
          </cell>
          <cell r="B322" t="str">
            <v>Hydromat RE</v>
          </cell>
        </row>
        <row r="323">
          <cell r="A323">
            <v>322</v>
          </cell>
          <cell r="B323" t="str">
            <v>Hygenic Company, LLC</v>
          </cell>
        </row>
        <row r="324">
          <cell r="A324">
            <v>323</v>
          </cell>
          <cell r="B324" t="str">
            <v>Imhoff Construction</v>
          </cell>
        </row>
        <row r="325">
          <cell r="A325">
            <v>324</v>
          </cell>
          <cell r="B325" t="str">
            <v>Imperial Heating</v>
          </cell>
        </row>
        <row r="326">
          <cell r="A326">
            <v>325</v>
          </cell>
          <cell r="B326" t="str">
            <v>IMS</v>
          </cell>
        </row>
        <row r="327">
          <cell r="A327">
            <v>326</v>
          </cell>
          <cell r="B327" t="str">
            <v>Incredible Plastics</v>
          </cell>
        </row>
        <row r="328">
          <cell r="A328">
            <v>327</v>
          </cell>
          <cell r="B328" t="str">
            <v>Independent Elevator</v>
          </cell>
        </row>
        <row r="329">
          <cell r="A329">
            <v>328</v>
          </cell>
          <cell r="B329" t="str">
            <v>Industrial Assets Machinery</v>
          </cell>
        </row>
        <row r="330">
          <cell r="A330">
            <v>329</v>
          </cell>
          <cell r="B330" t="str">
            <v>Industrial Mold and Machine</v>
          </cell>
        </row>
        <row r="331">
          <cell r="A331">
            <v>330</v>
          </cell>
          <cell r="B331" t="str">
            <v>Industrial Realty Group</v>
          </cell>
        </row>
        <row r="332">
          <cell r="A332">
            <v>331</v>
          </cell>
          <cell r="B332" t="str">
            <v>Industrias Galvanizadoras Prozinc sa cv</v>
          </cell>
        </row>
        <row r="333">
          <cell r="A333">
            <v>332</v>
          </cell>
          <cell r="B333" t="str">
            <v>Inland Transport</v>
          </cell>
        </row>
        <row r="334">
          <cell r="A334">
            <v>333</v>
          </cell>
          <cell r="B334" t="str">
            <v>Inman Shipping</v>
          </cell>
        </row>
        <row r="335">
          <cell r="A335">
            <v>334</v>
          </cell>
          <cell r="B335" t="str">
            <v>INMAR Solutions</v>
          </cell>
        </row>
        <row r="336">
          <cell r="A336">
            <v>335</v>
          </cell>
          <cell r="B336" t="str">
            <v>Innovation Plastics</v>
          </cell>
        </row>
        <row r="337">
          <cell r="A337">
            <v>336</v>
          </cell>
          <cell r="B337" t="str">
            <v>Innovative Fabrications LLC</v>
          </cell>
        </row>
        <row r="338">
          <cell r="A338">
            <v>337</v>
          </cell>
          <cell r="B338" t="str">
            <v>Inpak Systems</v>
          </cell>
        </row>
        <row r="339">
          <cell r="A339">
            <v>338</v>
          </cell>
          <cell r="B339" t="str">
            <v>Integrated Packaging Film</v>
          </cell>
        </row>
        <row r="340">
          <cell r="A340">
            <v>339</v>
          </cell>
          <cell r="B340" t="str">
            <v>Integrity Integrators, LLC</v>
          </cell>
        </row>
        <row r="341">
          <cell r="A341">
            <v>340</v>
          </cell>
          <cell r="B341" t="str">
            <v>International Enterprises</v>
          </cell>
        </row>
        <row r="342">
          <cell r="A342">
            <v>341</v>
          </cell>
          <cell r="B342" t="str">
            <v>International Metal Trading</v>
          </cell>
        </row>
        <row r="343">
          <cell r="A343">
            <v>342</v>
          </cell>
          <cell r="B343" t="str">
            <v>International Packaging Co.</v>
          </cell>
        </row>
        <row r="344">
          <cell r="A344">
            <v>343</v>
          </cell>
          <cell r="B344" t="str">
            <v>J Feldkamp Design Build</v>
          </cell>
        </row>
        <row r="345">
          <cell r="A345">
            <v>344</v>
          </cell>
          <cell r="B345" t="str">
            <v>J&amp;J Precision Machine</v>
          </cell>
        </row>
        <row r="346">
          <cell r="A346">
            <v>345</v>
          </cell>
          <cell r="B346" t="str">
            <v>Janco Engineered Products LLC</v>
          </cell>
        </row>
        <row r="347">
          <cell r="A347">
            <v>346</v>
          </cell>
          <cell r="B347" t="str">
            <v>Jax Mold and Machine</v>
          </cell>
        </row>
        <row r="348">
          <cell r="A348">
            <v>347</v>
          </cell>
          <cell r="B348" t="str">
            <v>Jay-Em Aerospace</v>
          </cell>
        </row>
        <row r="349">
          <cell r="A349">
            <v>348</v>
          </cell>
          <cell r="B349" t="str">
            <v>JBR Industrial Services LLC</v>
          </cell>
        </row>
        <row r="350">
          <cell r="A350">
            <v>349</v>
          </cell>
          <cell r="B350" t="str">
            <v>JC Whitlam Manufacturing</v>
          </cell>
        </row>
        <row r="351">
          <cell r="A351">
            <v>350</v>
          </cell>
          <cell r="B351" t="str">
            <v>Jet Pack Shipping</v>
          </cell>
        </row>
        <row r="352">
          <cell r="A352">
            <v>351</v>
          </cell>
          <cell r="B352" t="str">
            <v>Jet Rubber Co</v>
          </cell>
        </row>
        <row r="353">
          <cell r="A353">
            <v>352</v>
          </cell>
          <cell r="B353" t="str">
            <v>Jordan Power</v>
          </cell>
        </row>
        <row r="354">
          <cell r="A354">
            <v>353</v>
          </cell>
          <cell r="B354" t="str">
            <v>Josh Kraft</v>
          </cell>
        </row>
        <row r="355">
          <cell r="A355">
            <v>354</v>
          </cell>
          <cell r="B355" t="str">
            <v>JRC Technologies LLC Co</v>
          </cell>
        </row>
        <row r="356">
          <cell r="A356">
            <v>355</v>
          </cell>
          <cell r="B356" t="str">
            <v>JT Automation</v>
          </cell>
        </row>
        <row r="357">
          <cell r="A357">
            <v>356</v>
          </cell>
          <cell r="B357" t="str">
            <v>JT Fennell Co</v>
          </cell>
        </row>
        <row r="358">
          <cell r="A358">
            <v>357</v>
          </cell>
          <cell r="B358" t="str">
            <v>Jupiter Design and Manufacturing</v>
          </cell>
        </row>
        <row r="359">
          <cell r="A359">
            <v>358</v>
          </cell>
          <cell r="B359" t="str">
            <v>JWF Industries</v>
          </cell>
        </row>
        <row r="360">
          <cell r="A360">
            <v>359</v>
          </cell>
          <cell r="B360" t="str">
            <v>JYC Exports and Imports LLC</v>
          </cell>
        </row>
        <row r="361">
          <cell r="A361">
            <v>360</v>
          </cell>
          <cell r="B361" t="str">
            <v>K Company</v>
          </cell>
        </row>
        <row r="362">
          <cell r="A362">
            <v>361</v>
          </cell>
          <cell r="B362" t="str">
            <v>K&amp;D Diversified Services</v>
          </cell>
        </row>
        <row r="363">
          <cell r="A363">
            <v>362</v>
          </cell>
          <cell r="B363" t="str">
            <v>Karam Trader Inc</v>
          </cell>
        </row>
        <row r="364">
          <cell r="A364">
            <v>363</v>
          </cell>
          <cell r="B364" t="str">
            <v>Karim Trucking</v>
          </cell>
        </row>
        <row r="365">
          <cell r="A365">
            <v>364</v>
          </cell>
          <cell r="B365" t="str">
            <v>KB Bioenergy</v>
          </cell>
        </row>
        <row r="366">
          <cell r="A366">
            <v>365</v>
          </cell>
          <cell r="B366" t="str">
            <v>Keen Pump Co</v>
          </cell>
        </row>
        <row r="367">
          <cell r="A367">
            <v>366</v>
          </cell>
          <cell r="B367" t="str">
            <v>Keene Building Products</v>
          </cell>
        </row>
        <row r="368">
          <cell r="A368">
            <v>367</v>
          </cell>
          <cell r="B368" t="str">
            <v>Kempler Industries Used Machinery</v>
          </cell>
        </row>
        <row r="369">
          <cell r="A369">
            <v>368</v>
          </cell>
          <cell r="B369" t="str">
            <v>Ken Marshall</v>
          </cell>
        </row>
        <row r="370">
          <cell r="A370">
            <v>369</v>
          </cell>
          <cell r="B370" t="str">
            <v>Kenda Tire</v>
          </cell>
        </row>
        <row r="371">
          <cell r="A371">
            <v>370</v>
          </cell>
          <cell r="B371" t="str">
            <v>Kennametal Inc</v>
          </cell>
        </row>
        <row r="372">
          <cell r="A372">
            <v>371</v>
          </cell>
          <cell r="B372" t="str">
            <v>Kent Adhesive Products Co</v>
          </cell>
        </row>
        <row r="373">
          <cell r="A373">
            <v>372</v>
          </cell>
          <cell r="B373" t="str">
            <v>Kent Automation</v>
          </cell>
        </row>
        <row r="374">
          <cell r="A374">
            <v>373</v>
          </cell>
          <cell r="B374" t="str">
            <v>Kent City Plastics LLC</v>
          </cell>
        </row>
        <row r="375">
          <cell r="A375">
            <v>374</v>
          </cell>
          <cell r="B375" t="str">
            <v>Kent Corporation</v>
          </cell>
        </row>
        <row r="376">
          <cell r="A376">
            <v>375</v>
          </cell>
          <cell r="B376" t="str">
            <v>Kent Paverbrick LLC</v>
          </cell>
        </row>
        <row r="377">
          <cell r="A377">
            <v>376</v>
          </cell>
          <cell r="B377" t="str">
            <v>Kiraly Tool</v>
          </cell>
        </row>
        <row r="378">
          <cell r="A378">
            <v>377</v>
          </cell>
          <cell r="B378" t="str">
            <v>Kiraly Tool and Die</v>
          </cell>
        </row>
        <row r="379">
          <cell r="A379">
            <v>378</v>
          </cell>
          <cell r="B379" t="str">
            <v>Kobelco</v>
          </cell>
        </row>
        <row r="380">
          <cell r="A380">
            <v>379</v>
          </cell>
          <cell r="B380" t="str">
            <v>Korkan Granite</v>
          </cell>
        </row>
        <row r="381">
          <cell r="A381">
            <v>380</v>
          </cell>
          <cell r="B381" t="str">
            <v>Kowalski Heat Treating Co</v>
          </cell>
        </row>
        <row r="382">
          <cell r="A382">
            <v>381</v>
          </cell>
          <cell r="B382" t="str">
            <v>Krauss-Maffei</v>
          </cell>
        </row>
        <row r="383">
          <cell r="A383">
            <v>382</v>
          </cell>
          <cell r="B383" t="str">
            <v>Kyocera Hardcoating Tech</v>
          </cell>
        </row>
        <row r="384">
          <cell r="A384">
            <v>383</v>
          </cell>
          <cell r="B384" t="str">
            <v>Kyoto Cooling</v>
          </cell>
        </row>
        <row r="385">
          <cell r="A385">
            <v>384</v>
          </cell>
          <cell r="B385" t="str">
            <v>L.A. Services (Customer)</v>
          </cell>
        </row>
        <row r="386">
          <cell r="A386">
            <v>385</v>
          </cell>
          <cell r="B386" t="str">
            <v>Landmark Plastic Corp</v>
          </cell>
        </row>
        <row r="387">
          <cell r="A387">
            <v>386</v>
          </cell>
          <cell r="B387" t="str">
            <v>Lanly Company</v>
          </cell>
        </row>
        <row r="388">
          <cell r="A388">
            <v>387</v>
          </cell>
          <cell r="B388" t="str">
            <v>Layco Electric</v>
          </cell>
        </row>
        <row r="389">
          <cell r="A389">
            <v>388</v>
          </cell>
          <cell r="B389" t="str">
            <v>Lefko Plastic Products Inc</v>
          </cell>
        </row>
        <row r="390">
          <cell r="A390">
            <v>389</v>
          </cell>
          <cell r="B390" t="str">
            <v>Lehi Valley</v>
          </cell>
        </row>
        <row r="391">
          <cell r="A391">
            <v>390</v>
          </cell>
          <cell r="B391" t="str">
            <v>Lextech Industries</v>
          </cell>
        </row>
        <row r="392">
          <cell r="A392">
            <v>391</v>
          </cell>
          <cell r="B392" t="str">
            <v>Liberty Machinery</v>
          </cell>
        </row>
        <row r="393">
          <cell r="A393">
            <v>392</v>
          </cell>
          <cell r="B393" t="str">
            <v>Little Tikes</v>
          </cell>
        </row>
        <row r="394">
          <cell r="A394">
            <v>393</v>
          </cell>
          <cell r="B394" t="str">
            <v>LMT</v>
          </cell>
        </row>
        <row r="395">
          <cell r="A395">
            <v>394</v>
          </cell>
          <cell r="B395" t="str">
            <v>Locus Holdings</v>
          </cell>
        </row>
        <row r="396">
          <cell r="A396">
            <v>395</v>
          </cell>
          <cell r="B396" t="str">
            <v>Loveman Steel</v>
          </cell>
        </row>
        <row r="397">
          <cell r="A397">
            <v>396</v>
          </cell>
          <cell r="B397" t="str">
            <v>LyondellBasell</v>
          </cell>
        </row>
        <row r="398">
          <cell r="A398">
            <v>397</v>
          </cell>
          <cell r="B398" t="str">
            <v>M&amp;L Equipment</v>
          </cell>
        </row>
        <row r="399">
          <cell r="A399">
            <v>398</v>
          </cell>
          <cell r="B399" t="str">
            <v>M&amp;M Equipment Corp</v>
          </cell>
        </row>
        <row r="400">
          <cell r="A400">
            <v>399</v>
          </cell>
          <cell r="B400" t="str">
            <v>MAC LTT</v>
          </cell>
        </row>
        <row r="401">
          <cell r="A401">
            <v>400</v>
          </cell>
          <cell r="B401" t="str">
            <v>Machinery Exchange Corp</v>
          </cell>
        </row>
        <row r="402">
          <cell r="A402">
            <v>401</v>
          </cell>
          <cell r="B402" t="str">
            <v>Machinery Internation Corporation</v>
          </cell>
        </row>
        <row r="403">
          <cell r="A403">
            <v>402</v>
          </cell>
          <cell r="B403" t="str">
            <v>Machinery Values of NJ Inc</v>
          </cell>
        </row>
        <row r="404">
          <cell r="A404">
            <v>403</v>
          </cell>
          <cell r="B404" t="str">
            <v>Machinex Technologies, Inc</v>
          </cell>
        </row>
        <row r="405">
          <cell r="A405">
            <v>404</v>
          </cell>
          <cell r="B405" t="str">
            <v>Machitech</v>
          </cell>
        </row>
        <row r="406">
          <cell r="A406">
            <v>405</v>
          </cell>
          <cell r="B406" t="str">
            <v>MacTech</v>
          </cell>
        </row>
        <row r="407">
          <cell r="A407">
            <v>406</v>
          </cell>
          <cell r="B407" t="str">
            <v>Magna</v>
          </cell>
        </row>
        <row r="408">
          <cell r="A408">
            <v>407</v>
          </cell>
          <cell r="B408" t="str">
            <v>Mahoning Career and Tech Center</v>
          </cell>
        </row>
        <row r="409">
          <cell r="A409">
            <v>408</v>
          </cell>
          <cell r="B409" t="str">
            <v>Malco Products Inc</v>
          </cell>
        </row>
        <row r="410">
          <cell r="A410">
            <v>409</v>
          </cell>
          <cell r="B410" t="str">
            <v>Mantua Manufacturing</v>
          </cell>
        </row>
        <row r="411">
          <cell r="A411">
            <v>410</v>
          </cell>
          <cell r="B411" t="str">
            <v>Martin Wheel</v>
          </cell>
        </row>
        <row r="412">
          <cell r="A412">
            <v>411</v>
          </cell>
          <cell r="B412" t="str">
            <v>Maxion-Hayes Lemmerz International</v>
          </cell>
        </row>
        <row r="413">
          <cell r="A413">
            <v>412</v>
          </cell>
          <cell r="B413" t="str">
            <v>McGee Corp</v>
          </cell>
        </row>
        <row r="414">
          <cell r="A414">
            <v>413</v>
          </cell>
          <cell r="B414" t="str">
            <v>McKean Machine</v>
          </cell>
        </row>
        <row r="415">
          <cell r="A415">
            <v>414</v>
          </cell>
          <cell r="B415" t="str">
            <v>McLab</v>
          </cell>
        </row>
        <row r="416">
          <cell r="A416">
            <v>415</v>
          </cell>
          <cell r="B416" t="str">
            <v>McNeil Industries</v>
          </cell>
        </row>
        <row r="417">
          <cell r="A417">
            <v>416</v>
          </cell>
          <cell r="B417" t="str">
            <v>Mechanical Systems, Inc</v>
          </cell>
        </row>
        <row r="418">
          <cell r="A418">
            <v>417</v>
          </cell>
          <cell r="B418" t="str">
            <v>Meggitt Aircraft Braking Systems</v>
          </cell>
        </row>
        <row r="419">
          <cell r="A419">
            <v>418</v>
          </cell>
          <cell r="B419" t="str">
            <v>Mesnac</v>
          </cell>
        </row>
        <row r="420">
          <cell r="A420">
            <v>419</v>
          </cell>
          <cell r="B420" t="str">
            <v>Metal Sales</v>
          </cell>
        </row>
        <row r="421">
          <cell r="A421">
            <v>420</v>
          </cell>
          <cell r="B421" t="str">
            <v>Metal Supermarkets Akron</v>
          </cell>
        </row>
        <row r="422">
          <cell r="A422">
            <v>421</v>
          </cell>
          <cell r="B422" t="str">
            <v>Metals USA-Langhorne</v>
          </cell>
        </row>
        <row r="423">
          <cell r="A423">
            <v>422</v>
          </cell>
          <cell r="B423" t="str">
            <v>Metropolitan Baking Company</v>
          </cell>
        </row>
        <row r="424">
          <cell r="A424">
            <v>423</v>
          </cell>
          <cell r="B424" t="str">
            <v>Micro Lapping Barile Precision Grinding</v>
          </cell>
        </row>
        <row r="425">
          <cell r="A425">
            <v>424</v>
          </cell>
          <cell r="B425" t="str">
            <v>Mid-State Industrial Maintenance</v>
          </cell>
        </row>
        <row r="426">
          <cell r="A426">
            <v>425</v>
          </cell>
          <cell r="B426" t="str">
            <v>Mid American</v>
          </cell>
        </row>
        <row r="427">
          <cell r="A427">
            <v>426</v>
          </cell>
          <cell r="B427" t="str">
            <v>Midstate Plastics Corp.</v>
          </cell>
        </row>
        <row r="428">
          <cell r="A428">
            <v>427</v>
          </cell>
          <cell r="B428" t="str">
            <v>Midwest Installation Group</v>
          </cell>
        </row>
        <row r="429">
          <cell r="A429">
            <v>428</v>
          </cell>
          <cell r="B429" t="str">
            <v>Migchellbrink Inc (Customer)</v>
          </cell>
        </row>
        <row r="430">
          <cell r="A430">
            <v>429</v>
          </cell>
          <cell r="B430" t="str">
            <v>Milestone</v>
          </cell>
        </row>
        <row r="431">
          <cell r="A431">
            <v>430</v>
          </cell>
          <cell r="B431" t="str">
            <v>Miller's Towing (C)</v>
          </cell>
        </row>
        <row r="432">
          <cell r="A432">
            <v>431</v>
          </cell>
          <cell r="B432" t="str">
            <v>Mingo Manufacturing Inc</v>
          </cell>
        </row>
        <row r="433">
          <cell r="A433">
            <v>432</v>
          </cell>
          <cell r="B433" t="str">
            <v>Mist Distributors, LLC</v>
          </cell>
        </row>
        <row r="434">
          <cell r="A434">
            <v>433</v>
          </cell>
          <cell r="B434" t="str">
            <v>Mitchell Rubber Co</v>
          </cell>
        </row>
        <row r="435">
          <cell r="A435">
            <v>434</v>
          </cell>
          <cell r="B435" t="str">
            <v>Mithril Thrax</v>
          </cell>
        </row>
        <row r="436">
          <cell r="A436">
            <v>435</v>
          </cell>
          <cell r="B436" t="str">
            <v>Modern Designs Inc</v>
          </cell>
        </row>
        <row r="437">
          <cell r="A437">
            <v>436</v>
          </cell>
          <cell r="B437" t="str">
            <v>Mohawk Machinery Inc.</v>
          </cell>
        </row>
        <row r="438">
          <cell r="A438">
            <v>437</v>
          </cell>
          <cell r="B438" t="str">
            <v>Molding Dynamics Inc</v>
          </cell>
        </row>
        <row r="439">
          <cell r="A439">
            <v>438</v>
          </cell>
          <cell r="B439" t="str">
            <v>Momentous Mold &amp; Machine</v>
          </cell>
        </row>
        <row r="440">
          <cell r="A440">
            <v>439</v>
          </cell>
          <cell r="B440" t="str">
            <v>Monarch Machinery Inc</v>
          </cell>
        </row>
        <row r="441">
          <cell r="A441">
            <v>440</v>
          </cell>
          <cell r="B441" t="str">
            <v>Moonbeam Inc</v>
          </cell>
        </row>
        <row r="442">
          <cell r="A442">
            <v>441</v>
          </cell>
          <cell r="B442" t="str">
            <v>Mosaic Color and Additives</v>
          </cell>
        </row>
        <row r="443">
          <cell r="A443">
            <v>442</v>
          </cell>
          <cell r="B443" t="str">
            <v>Motch &amp; Eichele</v>
          </cell>
        </row>
        <row r="444">
          <cell r="A444">
            <v>443</v>
          </cell>
          <cell r="B444" t="str">
            <v>Move It</v>
          </cell>
        </row>
        <row r="445">
          <cell r="A445">
            <v>444</v>
          </cell>
          <cell r="B445" t="str">
            <v>MST Inc</v>
          </cell>
        </row>
        <row r="446">
          <cell r="A446">
            <v>445</v>
          </cell>
          <cell r="B446" t="str">
            <v>Murr Rubber</v>
          </cell>
        </row>
        <row r="447">
          <cell r="A447">
            <v>446</v>
          </cell>
          <cell r="B447" t="str">
            <v>MVP Plastics Inc.</v>
          </cell>
        </row>
        <row r="448">
          <cell r="A448">
            <v>447</v>
          </cell>
          <cell r="B448" t="str">
            <v>MW Components</v>
          </cell>
        </row>
        <row r="449">
          <cell r="A449">
            <v>448</v>
          </cell>
          <cell r="B449" t="str">
            <v>Nabholz Construction Corporation</v>
          </cell>
        </row>
        <row r="450">
          <cell r="A450">
            <v>449</v>
          </cell>
          <cell r="B450" t="str">
            <v>National Lift Truck (Customer)</v>
          </cell>
        </row>
        <row r="451">
          <cell r="A451">
            <v>450</v>
          </cell>
          <cell r="B451" t="str">
            <v>National Management Systems</v>
          </cell>
        </row>
        <row r="452">
          <cell r="A452">
            <v>451</v>
          </cell>
          <cell r="B452" t="str">
            <v>National Print Services</v>
          </cell>
        </row>
        <row r="453">
          <cell r="A453">
            <v>452</v>
          </cell>
          <cell r="B453" t="str">
            <v>Navitas Systems</v>
          </cell>
        </row>
        <row r="454">
          <cell r="A454">
            <v>453</v>
          </cell>
          <cell r="B454" t="str">
            <v>NC Aluminum Company, Inc</v>
          </cell>
        </row>
        <row r="455">
          <cell r="A455">
            <v>454</v>
          </cell>
          <cell r="B455" t="str">
            <v>NCT Technologies</v>
          </cell>
        </row>
        <row r="456">
          <cell r="A456">
            <v>455</v>
          </cell>
          <cell r="B456" t="str">
            <v>Netstal</v>
          </cell>
        </row>
        <row r="457">
          <cell r="A457">
            <v>456</v>
          </cell>
          <cell r="B457" t="str">
            <v>New England Gear</v>
          </cell>
        </row>
        <row r="458">
          <cell r="A458">
            <v>457</v>
          </cell>
          <cell r="B458" t="str">
            <v>New Era Converting Machinery, Inc</v>
          </cell>
        </row>
        <row r="459">
          <cell r="A459">
            <v>458</v>
          </cell>
          <cell r="B459" t="str">
            <v>New York Bakery of Syracuse, Inc</v>
          </cell>
        </row>
        <row r="460">
          <cell r="A460">
            <v>459</v>
          </cell>
          <cell r="B460" t="str">
            <v>Newberger Machine</v>
          </cell>
        </row>
        <row r="461">
          <cell r="A461">
            <v>460</v>
          </cell>
          <cell r="B461" t="str">
            <v>Newell Brands (Rubbermaid Inc)</v>
          </cell>
        </row>
        <row r="462">
          <cell r="A462">
            <v>461</v>
          </cell>
          <cell r="B462" t="str">
            <v>NH Acquisitions Corp</v>
          </cell>
        </row>
        <row r="463">
          <cell r="A463">
            <v>462</v>
          </cell>
          <cell r="B463" t="str">
            <v>Nichols Mold Inc</v>
          </cell>
        </row>
        <row r="464">
          <cell r="A464">
            <v>463</v>
          </cell>
          <cell r="B464" t="str">
            <v>NOCO (customer)</v>
          </cell>
        </row>
        <row r="465">
          <cell r="A465">
            <v>464</v>
          </cell>
          <cell r="B465" t="str">
            <v>Noramco</v>
          </cell>
        </row>
        <row r="466">
          <cell r="A466">
            <v>465</v>
          </cell>
          <cell r="B466" t="str">
            <v>Normandy Products(Oldcastle)</v>
          </cell>
        </row>
        <row r="467">
          <cell r="A467">
            <v>466</v>
          </cell>
          <cell r="B467" t="str">
            <v>North High Brewing Co</v>
          </cell>
        </row>
        <row r="468">
          <cell r="A468">
            <v>467</v>
          </cell>
          <cell r="B468" t="str">
            <v>Northcoast Shredding</v>
          </cell>
        </row>
        <row r="469">
          <cell r="A469">
            <v>468</v>
          </cell>
          <cell r="B469" t="str">
            <v>Northwest Inventory Solutions</v>
          </cell>
        </row>
        <row r="470">
          <cell r="A470">
            <v>469</v>
          </cell>
          <cell r="B470" t="str">
            <v>Nursery Supplies Co</v>
          </cell>
        </row>
        <row r="471">
          <cell r="A471">
            <v>470</v>
          </cell>
          <cell r="B471" t="str">
            <v>OA Newton</v>
          </cell>
        </row>
        <row r="472">
          <cell r="A472">
            <v>471</v>
          </cell>
          <cell r="B472" t="str">
            <v>Oasis Windows</v>
          </cell>
        </row>
        <row r="473">
          <cell r="A473">
            <v>472</v>
          </cell>
          <cell r="B473" t="str">
            <v>OEM Miller</v>
          </cell>
        </row>
        <row r="474">
          <cell r="A474">
            <v>473</v>
          </cell>
          <cell r="B474" t="str">
            <v>OEM Tube Assemblies</v>
          </cell>
        </row>
        <row r="475">
          <cell r="A475">
            <v>474</v>
          </cell>
          <cell r="B475" t="str">
            <v>Ohio Cabinets</v>
          </cell>
        </row>
        <row r="476">
          <cell r="A476">
            <v>475</v>
          </cell>
          <cell r="B476" t="str">
            <v>Ohio Carbon</v>
          </cell>
        </row>
        <row r="477">
          <cell r="A477">
            <v>476</v>
          </cell>
          <cell r="B477" t="str">
            <v>Ohio Custom Dies</v>
          </cell>
        </row>
        <row r="478">
          <cell r="A478">
            <v>477</v>
          </cell>
          <cell r="B478" t="str">
            <v>Ohio Magnetics, Inc</v>
          </cell>
        </row>
        <row r="479">
          <cell r="A479">
            <v>478</v>
          </cell>
          <cell r="B479" t="str">
            <v>Ohio Metal Roofing</v>
          </cell>
        </row>
        <row r="480">
          <cell r="A480">
            <v>479</v>
          </cell>
          <cell r="B480" t="str">
            <v>Ohio Storage Services</v>
          </cell>
        </row>
        <row r="481">
          <cell r="A481">
            <v>480</v>
          </cell>
          <cell r="B481" t="str">
            <v>Okaya (U.S.A), Inc</v>
          </cell>
        </row>
        <row r="482">
          <cell r="A482">
            <v>481</v>
          </cell>
          <cell r="B482" t="str">
            <v>Omnia-Dash</v>
          </cell>
        </row>
        <row r="483">
          <cell r="A483">
            <v>482</v>
          </cell>
          <cell r="B483" t="str">
            <v>Orbis Corporation</v>
          </cell>
        </row>
        <row r="484">
          <cell r="A484">
            <v>483</v>
          </cell>
          <cell r="B484" t="str">
            <v>OSU Globus Medical</v>
          </cell>
        </row>
        <row r="485">
          <cell r="A485">
            <v>484</v>
          </cell>
          <cell r="B485" t="str">
            <v>Other</v>
          </cell>
        </row>
        <row r="486">
          <cell r="A486">
            <v>485</v>
          </cell>
          <cell r="B486" t="str">
            <v>Ovation Polymers</v>
          </cell>
        </row>
        <row r="487">
          <cell r="A487">
            <v>486</v>
          </cell>
          <cell r="B487" t="str">
            <v>Overhead</v>
          </cell>
        </row>
        <row r="488">
          <cell r="A488">
            <v>487</v>
          </cell>
          <cell r="B488" t="str">
            <v>OVS Grinding Co.</v>
          </cell>
        </row>
        <row r="489">
          <cell r="A489">
            <v>488</v>
          </cell>
          <cell r="B489" t="str">
            <v>Packsize</v>
          </cell>
        </row>
        <row r="490">
          <cell r="A490">
            <v>489</v>
          </cell>
          <cell r="B490" t="str">
            <v>Pan Logistics</v>
          </cell>
        </row>
        <row r="491">
          <cell r="A491">
            <v>490</v>
          </cell>
          <cell r="B491" t="str">
            <v>Parker Hannifin Corp</v>
          </cell>
        </row>
        <row r="492">
          <cell r="A492">
            <v>491</v>
          </cell>
          <cell r="B492" t="str">
            <v>Passaic Rubber Co</v>
          </cell>
        </row>
        <row r="493">
          <cell r="A493">
            <v>492</v>
          </cell>
          <cell r="B493" t="str">
            <v>PC Krause and Associates, Inc</v>
          </cell>
        </row>
        <row r="494">
          <cell r="A494">
            <v>493</v>
          </cell>
          <cell r="B494" t="str">
            <v>PDI Ground Support Systems</v>
          </cell>
        </row>
        <row r="495">
          <cell r="A495">
            <v>494</v>
          </cell>
          <cell r="B495" t="str">
            <v>Peak Machinery Sales</v>
          </cell>
        </row>
        <row r="496">
          <cell r="A496">
            <v>495</v>
          </cell>
          <cell r="B496" t="str">
            <v>Peerless-Winsmith, Inc</v>
          </cell>
        </row>
        <row r="497">
          <cell r="A497">
            <v>496</v>
          </cell>
          <cell r="B497" t="str">
            <v>Peevy Construction</v>
          </cell>
        </row>
        <row r="498">
          <cell r="A498">
            <v>497</v>
          </cell>
          <cell r="B498" t="str">
            <v>Pentair Residential Filtration</v>
          </cell>
        </row>
        <row r="499">
          <cell r="A499">
            <v>498</v>
          </cell>
          <cell r="B499" t="str">
            <v>Performance Health</v>
          </cell>
        </row>
        <row r="500">
          <cell r="A500">
            <v>499</v>
          </cell>
          <cell r="B500" t="str">
            <v>Permco Inc</v>
          </cell>
        </row>
        <row r="501">
          <cell r="A501">
            <v>500</v>
          </cell>
          <cell r="B501" t="str">
            <v>Perry Group LTD</v>
          </cell>
        </row>
        <row r="502">
          <cell r="A502">
            <v>501</v>
          </cell>
          <cell r="B502" t="str">
            <v>Philpott Rubber &amp; Plastics</v>
          </cell>
        </row>
        <row r="503">
          <cell r="A503">
            <v>502</v>
          </cell>
          <cell r="B503" t="str">
            <v>Philsons Bushel and Peck Farm</v>
          </cell>
        </row>
        <row r="504">
          <cell r="A504">
            <v>503</v>
          </cell>
          <cell r="B504" t="str">
            <v>Pioneer Grinding</v>
          </cell>
        </row>
        <row r="505">
          <cell r="A505">
            <v>504</v>
          </cell>
          <cell r="B505" t="str">
            <v>Pioneer Plastics</v>
          </cell>
        </row>
        <row r="506">
          <cell r="A506">
            <v>505</v>
          </cell>
          <cell r="B506" t="str">
            <v>Pizza Fire</v>
          </cell>
        </row>
        <row r="507">
          <cell r="A507">
            <v>506</v>
          </cell>
          <cell r="B507" t="str">
            <v>Plastic Machinery Group</v>
          </cell>
        </row>
        <row r="508">
          <cell r="A508">
            <v>507</v>
          </cell>
          <cell r="B508" t="str">
            <v>Plastic Materials Inc</v>
          </cell>
        </row>
        <row r="509">
          <cell r="A509">
            <v>508</v>
          </cell>
          <cell r="B509" t="str">
            <v>Plastic Partners LLC</v>
          </cell>
        </row>
        <row r="510">
          <cell r="A510">
            <v>509</v>
          </cell>
          <cell r="B510" t="str">
            <v>Plastiwin Capital Equipment</v>
          </cell>
        </row>
        <row r="511">
          <cell r="A511">
            <v>510</v>
          </cell>
          <cell r="B511" t="str">
            <v>PMI Underwater Cable Solutions</v>
          </cell>
        </row>
        <row r="512">
          <cell r="A512">
            <v>511</v>
          </cell>
          <cell r="B512" t="str">
            <v>Polyfill LLC</v>
          </cell>
        </row>
        <row r="513">
          <cell r="A513">
            <v>512</v>
          </cell>
          <cell r="B513" t="str">
            <v>Polykala Tech</v>
          </cell>
        </row>
        <row r="514">
          <cell r="A514">
            <v>513</v>
          </cell>
          <cell r="B514" t="str">
            <v>Polymer 5</v>
          </cell>
        </row>
        <row r="515">
          <cell r="A515">
            <v>514</v>
          </cell>
          <cell r="B515" t="str">
            <v>Polymer Machinery Company</v>
          </cell>
        </row>
        <row r="516">
          <cell r="A516">
            <v>515</v>
          </cell>
          <cell r="B516" t="str">
            <v>Polymerics Inc</v>
          </cell>
        </row>
        <row r="517">
          <cell r="A517">
            <v>516</v>
          </cell>
          <cell r="B517" t="str">
            <v>Portage Precision Polymer</v>
          </cell>
        </row>
        <row r="518">
          <cell r="A518">
            <v>517</v>
          </cell>
          <cell r="B518" t="str">
            <v>Positech Corporation</v>
          </cell>
        </row>
        <row r="519">
          <cell r="A519">
            <v>518</v>
          </cell>
          <cell r="B519" t="str">
            <v>Powerline Equipment</v>
          </cell>
        </row>
        <row r="520">
          <cell r="A520">
            <v>519</v>
          </cell>
          <cell r="B520" t="str">
            <v>Precision Finishing Systems</v>
          </cell>
        </row>
        <row r="521">
          <cell r="A521">
            <v>520</v>
          </cell>
          <cell r="B521" t="str">
            <v>Premier Equipment</v>
          </cell>
        </row>
        <row r="522">
          <cell r="A522">
            <v>521</v>
          </cell>
          <cell r="B522" t="str">
            <v>Premium Conwin</v>
          </cell>
        </row>
        <row r="523">
          <cell r="A523">
            <v>522</v>
          </cell>
          <cell r="B523" t="str">
            <v>Presstrade AG</v>
          </cell>
        </row>
        <row r="524">
          <cell r="A524">
            <v>523</v>
          </cell>
          <cell r="B524" t="str">
            <v>Pro Plastics Sales &amp; Service</v>
          </cell>
        </row>
        <row r="525">
          <cell r="A525">
            <v>524</v>
          </cell>
          <cell r="B525" t="str">
            <v>Process Cooling Systems</v>
          </cell>
        </row>
        <row r="526">
          <cell r="A526">
            <v>525</v>
          </cell>
          <cell r="B526" t="str">
            <v>Proform Group Inc</v>
          </cell>
        </row>
        <row r="527">
          <cell r="A527">
            <v>526</v>
          </cell>
          <cell r="B527" t="str">
            <v>Progressive Insurance</v>
          </cell>
        </row>
        <row r="528">
          <cell r="A528">
            <v>527</v>
          </cell>
          <cell r="B528" t="str">
            <v>Progressive Metalizing</v>
          </cell>
        </row>
        <row r="529">
          <cell r="A529">
            <v>528</v>
          </cell>
          <cell r="B529" t="str">
            <v>Progressive Polymers, Inc</v>
          </cell>
        </row>
        <row r="530">
          <cell r="A530">
            <v>529</v>
          </cell>
          <cell r="B530" t="str">
            <v>Prolift Machine Movers</v>
          </cell>
        </row>
        <row r="531">
          <cell r="A531">
            <v>530</v>
          </cell>
          <cell r="B531" t="str">
            <v>Prospect Mold</v>
          </cell>
        </row>
        <row r="532">
          <cell r="A532">
            <v>531</v>
          </cell>
          <cell r="B532" t="str">
            <v>Protectoplas Company</v>
          </cell>
        </row>
        <row r="533">
          <cell r="A533">
            <v>532</v>
          </cell>
          <cell r="B533" t="str">
            <v>Prototype Design, Inc</v>
          </cell>
        </row>
        <row r="534">
          <cell r="A534">
            <v>533</v>
          </cell>
          <cell r="B534" t="str">
            <v>PTI, Incorporated</v>
          </cell>
        </row>
        <row r="535">
          <cell r="A535">
            <v>534</v>
          </cell>
          <cell r="B535" t="str">
            <v>PurFoods</v>
          </cell>
        </row>
        <row r="536">
          <cell r="A536">
            <v>535</v>
          </cell>
          <cell r="B536" t="str">
            <v>Puzzle Creative Solutions</v>
          </cell>
        </row>
        <row r="537">
          <cell r="A537">
            <v>536</v>
          </cell>
          <cell r="B537" t="str">
            <v>Pyramid Mold &amp; Machine</v>
          </cell>
        </row>
        <row r="538">
          <cell r="A538">
            <v>537</v>
          </cell>
          <cell r="B538" t="str">
            <v>Pyrotek</v>
          </cell>
        </row>
        <row r="539">
          <cell r="A539">
            <v>538</v>
          </cell>
          <cell r="B539" t="str">
            <v>Q Model</v>
          </cell>
        </row>
        <row r="540">
          <cell r="A540">
            <v>539</v>
          </cell>
          <cell r="B540" t="str">
            <v>QC Electronics</v>
          </cell>
        </row>
        <row r="541">
          <cell r="A541">
            <v>540</v>
          </cell>
          <cell r="B541" t="str">
            <v>Quala</v>
          </cell>
        </row>
        <row r="542">
          <cell r="A542">
            <v>541</v>
          </cell>
          <cell r="B542" t="str">
            <v>Quality Fabrication</v>
          </cell>
        </row>
        <row r="543">
          <cell r="A543">
            <v>542</v>
          </cell>
          <cell r="B543" t="str">
            <v>Quantum Metals</v>
          </cell>
        </row>
        <row r="544">
          <cell r="A544">
            <v>543</v>
          </cell>
          <cell r="B544" t="str">
            <v>Quest Specialty Products</v>
          </cell>
        </row>
        <row r="545">
          <cell r="A545">
            <v>544</v>
          </cell>
          <cell r="B545" t="str">
            <v>Quickway Rigging &amp; Transfer</v>
          </cell>
        </row>
        <row r="546">
          <cell r="A546">
            <v>545</v>
          </cell>
          <cell r="B546" t="str">
            <v>R Shea Brewing</v>
          </cell>
        </row>
        <row r="547">
          <cell r="A547">
            <v>546</v>
          </cell>
          <cell r="B547" t="str">
            <v>R&amp;J Machinery Sales Inc</v>
          </cell>
        </row>
        <row r="548">
          <cell r="A548">
            <v>547</v>
          </cell>
          <cell r="B548" t="str">
            <v>R&amp;S Manufacturing Inc</v>
          </cell>
        </row>
        <row r="549">
          <cell r="A549">
            <v>548</v>
          </cell>
          <cell r="B549" t="str">
            <v>Radici Plastics</v>
          </cell>
        </row>
        <row r="550">
          <cell r="A550">
            <v>549</v>
          </cell>
          <cell r="B550" t="str">
            <v>Rafter Equipment Co</v>
          </cell>
        </row>
        <row r="551">
          <cell r="A551">
            <v>550</v>
          </cell>
          <cell r="B551" t="str">
            <v>Raging Wolf Solutions</v>
          </cell>
        </row>
        <row r="552">
          <cell r="A552">
            <v>551</v>
          </cell>
          <cell r="B552" t="str">
            <v>Railroad Friction Products Corporation</v>
          </cell>
        </row>
        <row r="553">
          <cell r="A553">
            <v>552</v>
          </cell>
          <cell r="B553" t="str">
            <v>Randy Hills</v>
          </cell>
        </row>
        <row r="554">
          <cell r="A554">
            <v>553</v>
          </cell>
          <cell r="B554" t="str">
            <v>Rapid Mold &amp; Machine</v>
          </cell>
        </row>
        <row r="555">
          <cell r="A555">
            <v>554</v>
          </cell>
          <cell r="B555" t="str">
            <v>Rapid Products Group LLC</v>
          </cell>
        </row>
        <row r="556">
          <cell r="A556">
            <v>555</v>
          </cell>
          <cell r="B556" t="str">
            <v>Ratek Industries LTD</v>
          </cell>
        </row>
        <row r="557">
          <cell r="A557">
            <v>556</v>
          </cell>
          <cell r="B557" t="str">
            <v>Rauh Polymers</v>
          </cell>
        </row>
        <row r="558">
          <cell r="A558">
            <v>557</v>
          </cell>
          <cell r="B558" t="str">
            <v>Ravago</v>
          </cell>
        </row>
        <row r="559">
          <cell r="A559">
            <v>558</v>
          </cell>
          <cell r="B559" t="str">
            <v>Razor Edge Precision Grinding LLC</v>
          </cell>
        </row>
        <row r="560">
          <cell r="A560">
            <v>559</v>
          </cell>
          <cell r="B560" t="str">
            <v>Reel Core Inc.</v>
          </cell>
        </row>
        <row r="561">
          <cell r="A561">
            <v>560</v>
          </cell>
          <cell r="B561" t="str">
            <v>Regal Equipment</v>
          </cell>
        </row>
        <row r="562">
          <cell r="A562">
            <v>561</v>
          </cell>
          <cell r="B562" t="str">
            <v>REPUBLIC STEEL</v>
          </cell>
        </row>
        <row r="563">
          <cell r="A563">
            <v>562</v>
          </cell>
          <cell r="B563" t="str">
            <v>Resco Products Inc</v>
          </cell>
        </row>
        <row r="564">
          <cell r="A564">
            <v>563</v>
          </cell>
          <cell r="B564" t="str">
            <v>Revolution Machine Works</v>
          </cell>
        </row>
        <row r="565">
          <cell r="A565">
            <v>564</v>
          </cell>
          <cell r="B565" t="str">
            <v>RICOH</v>
          </cell>
        </row>
        <row r="566">
          <cell r="A566">
            <v>565</v>
          </cell>
          <cell r="B566" t="str">
            <v>Ridge Tool Company</v>
          </cell>
        </row>
        <row r="567">
          <cell r="A567">
            <v>566</v>
          </cell>
          <cell r="B567" t="str">
            <v>River Valley Paper Co.</v>
          </cell>
        </row>
        <row r="568">
          <cell r="A568">
            <v>567</v>
          </cell>
          <cell r="B568" t="str">
            <v>Riverside Local Schools</v>
          </cell>
        </row>
        <row r="569">
          <cell r="A569">
            <v>568</v>
          </cell>
          <cell r="B569" t="str">
            <v>RJ Martin Electric</v>
          </cell>
        </row>
        <row r="570">
          <cell r="A570">
            <v>569</v>
          </cell>
          <cell r="B570" t="str">
            <v>RMG Investment Group LLC</v>
          </cell>
        </row>
        <row r="571">
          <cell r="A571">
            <v>570</v>
          </cell>
          <cell r="B571" t="str">
            <v>RMS Transport</v>
          </cell>
        </row>
        <row r="572">
          <cell r="A572">
            <v>571</v>
          </cell>
          <cell r="B572" t="str">
            <v>Robert Karpiuk</v>
          </cell>
        </row>
        <row r="573">
          <cell r="A573">
            <v>572</v>
          </cell>
          <cell r="B573" t="str">
            <v>Robert Ziada</v>
          </cell>
        </row>
        <row r="574">
          <cell r="A574">
            <v>573</v>
          </cell>
          <cell r="B574" t="str">
            <v>Roberts Machinery Sales</v>
          </cell>
        </row>
        <row r="575">
          <cell r="A575">
            <v>574</v>
          </cell>
          <cell r="B575" t="str">
            <v>Robson Forensics</v>
          </cell>
        </row>
        <row r="576">
          <cell r="A576">
            <v>575</v>
          </cell>
          <cell r="B576" t="str">
            <v>Rockford Bolt and Steel Co</v>
          </cell>
        </row>
        <row r="577">
          <cell r="A577">
            <v>576</v>
          </cell>
          <cell r="B577" t="str">
            <v>Roechling Automotive USA LLP</v>
          </cell>
        </row>
        <row r="578">
          <cell r="A578">
            <v>577</v>
          </cell>
          <cell r="B578" t="str">
            <v>Ronlen Industries Inc</v>
          </cell>
        </row>
        <row r="579">
          <cell r="A579">
            <v>578</v>
          </cell>
          <cell r="B579" t="str">
            <v>Rosendin Electric</v>
          </cell>
        </row>
        <row r="580">
          <cell r="A580">
            <v>579</v>
          </cell>
          <cell r="B580" t="str">
            <v>Ross Builders Co Inc</v>
          </cell>
        </row>
        <row r="581">
          <cell r="A581">
            <v>580</v>
          </cell>
          <cell r="B581" t="str">
            <v>Rotary Tech</v>
          </cell>
        </row>
        <row r="582">
          <cell r="A582">
            <v>581</v>
          </cell>
          <cell r="B582" t="str">
            <v>Roto Doctor LLC</v>
          </cell>
        </row>
        <row r="583">
          <cell r="A583">
            <v>582</v>
          </cell>
          <cell r="B583" t="str">
            <v>Rotocast Technologies Inc</v>
          </cell>
        </row>
        <row r="584">
          <cell r="A584">
            <v>583</v>
          </cell>
          <cell r="B584" t="str">
            <v>Rotoline</v>
          </cell>
        </row>
        <row r="585">
          <cell r="A585">
            <v>584</v>
          </cell>
          <cell r="B585" t="str">
            <v>RT Hampton</v>
          </cell>
        </row>
        <row r="586">
          <cell r="A586">
            <v>585</v>
          </cell>
          <cell r="B586" t="str">
            <v>RT Instruments</v>
          </cell>
        </row>
        <row r="587">
          <cell r="A587">
            <v>586</v>
          </cell>
          <cell r="B587" t="str">
            <v>Rubber Associates</v>
          </cell>
        </row>
        <row r="588">
          <cell r="A588">
            <v>587</v>
          </cell>
          <cell r="B588" t="str">
            <v>Rubber City Machinery Corporation</v>
          </cell>
        </row>
        <row r="589">
          <cell r="A589">
            <v>588</v>
          </cell>
          <cell r="B589" t="str">
            <v>Rubicon Rubber</v>
          </cell>
        </row>
        <row r="590">
          <cell r="A590">
            <v>589</v>
          </cell>
          <cell r="B590" t="str">
            <v>RW Beckett Corp</v>
          </cell>
        </row>
        <row r="591">
          <cell r="A591">
            <v>590</v>
          </cell>
          <cell r="B591" t="str">
            <v>S A Comunale</v>
          </cell>
        </row>
        <row r="592">
          <cell r="A592">
            <v>591</v>
          </cell>
          <cell r="B592" t="str">
            <v>S&amp;A Industries</v>
          </cell>
        </row>
        <row r="593">
          <cell r="A593">
            <v>592</v>
          </cell>
          <cell r="B593" t="str">
            <v>S&amp;M Machinery Sales, Inc</v>
          </cell>
        </row>
        <row r="594">
          <cell r="A594">
            <v>593</v>
          </cell>
          <cell r="B594" t="str">
            <v>S&amp;N Machine</v>
          </cell>
        </row>
        <row r="595">
          <cell r="A595">
            <v>594</v>
          </cell>
          <cell r="B595" t="str">
            <v>S&amp;S Machine and Design</v>
          </cell>
        </row>
        <row r="596">
          <cell r="A596">
            <v>595</v>
          </cell>
          <cell r="B596" t="str">
            <v>S&amp;S Mechanical Services</v>
          </cell>
        </row>
        <row r="597">
          <cell r="A597">
            <v>596</v>
          </cell>
          <cell r="B597" t="str">
            <v>S&amp;S Packaging Products, Inc.</v>
          </cell>
        </row>
        <row r="598">
          <cell r="A598">
            <v>597</v>
          </cell>
          <cell r="B598" t="str">
            <v>Safe Air Valve</v>
          </cell>
        </row>
        <row r="599">
          <cell r="A599">
            <v>598</v>
          </cell>
          <cell r="B599" t="str">
            <v>Saint Gobain</v>
          </cell>
        </row>
        <row r="600">
          <cell r="A600">
            <v>599</v>
          </cell>
          <cell r="B600" t="str">
            <v>Salem-Republic Rubber Co</v>
          </cell>
        </row>
        <row r="601">
          <cell r="A601">
            <v>600</v>
          </cell>
          <cell r="B601" t="str">
            <v>Schaefer Group</v>
          </cell>
        </row>
        <row r="602">
          <cell r="A602">
            <v>601</v>
          </cell>
          <cell r="B602" t="str">
            <v>Scherer Inc</v>
          </cell>
        </row>
        <row r="603">
          <cell r="A603">
            <v>602</v>
          </cell>
          <cell r="B603" t="str">
            <v>Schlabach Printers LTD</v>
          </cell>
        </row>
        <row r="604">
          <cell r="A604">
            <v>603</v>
          </cell>
          <cell r="B604" t="str">
            <v>Schneller Inc</v>
          </cell>
        </row>
        <row r="605">
          <cell r="A605">
            <v>604</v>
          </cell>
          <cell r="B605" t="str">
            <v>Schott Metal Products Co</v>
          </cell>
        </row>
        <row r="606">
          <cell r="A606">
            <v>605</v>
          </cell>
          <cell r="B606" t="str">
            <v>Schwebel Bread Company</v>
          </cell>
        </row>
        <row r="607">
          <cell r="A607">
            <v>606</v>
          </cell>
          <cell r="B607" t="str">
            <v>Scot Industries</v>
          </cell>
        </row>
        <row r="608">
          <cell r="A608">
            <v>607</v>
          </cell>
          <cell r="B608" t="str">
            <v>Scotchman Electric LLC</v>
          </cell>
        </row>
        <row r="609">
          <cell r="A609">
            <v>608</v>
          </cell>
          <cell r="B609" t="str">
            <v>Screen Americas</v>
          </cell>
        </row>
        <row r="610">
          <cell r="A610">
            <v>609</v>
          </cell>
          <cell r="B610" t="str">
            <v>SDC Contractors</v>
          </cell>
        </row>
        <row r="611">
          <cell r="A611">
            <v>610</v>
          </cell>
          <cell r="B611" t="str">
            <v>Seal Company</v>
          </cell>
        </row>
        <row r="612">
          <cell r="A612">
            <v>611</v>
          </cell>
          <cell r="B612" t="str">
            <v>Seal Corp USA</v>
          </cell>
        </row>
        <row r="613">
          <cell r="A613">
            <v>612</v>
          </cell>
          <cell r="B613" t="str">
            <v>Seco Machine</v>
          </cell>
        </row>
        <row r="614">
          <cell r="A614">
            <v>613</v>
          </cell>
          <cell r="B614" t="str">
            <v>Sekisui Kydex</v>
          </cell>
        </row>
        <row r="615">
          <cell r="A615">
            <v>614</v>
          </cell>
          <cell r="B615" t="str">
            <v>Sentry Fence</v>
          </cell>
        </row>
        <row r="616">
          <cell r="A616">
            <v>615</v>
          </cell>
          <cell r="B616" t="str">
            <v>SGB-USA</v>
          </cell>
        </row>
        <row r="617">
          <cell r="A617">
            <v>616</v>
          </cell>
          <cell r="B617" t="str">
            <v>Shinagawa</v>
          </cell>
        </row>
        <row r="618">
          <cell r="A618">
            <v>617</v>
          </cell>
          <cell r="B618" t="str">
            <v>Shurtape Technologies LLC</v>
          </cell>
        </row>
        <row r="619">
          <cell r="A619">
            <v>618</v>
          </cell>
          <cell r="B619" t="str">
            <v>Silgan Dispensing Systems(Cobra Plastics)</v>
          </cell>
        </row>
        <row r="620">
          <cell r="A620">
            <v>619</v>
          </cell>
          <cell r="B620" t="str">
            <v>Silver Hills Bakery</v>
          </cell>
        </row>
        <row r="621">
          <cell r="A621">
            <v>620</v>
          </cell>
          <cell r="B621" t="str">
            <v>Silver Lake Industrial</v>
          </cell>
        </row>
        <row r="622">
          <cell r="A622">
            <v>621</v>
          </cell>
          <cell r="B622" t="str">
            <v>Simplay3</v>
          </cell>
        </row>
        <row r="623">
          <cell r="A623">
            <v>622</v>
          </cell>
          <cell r="B623" t="str">
            <v>Simply Color</v>
          </cell>
        </row>
        <row r="624">
          <cell r="A624">
            <v>623</v>
          </cell>
          <cell r="B624" t="str">
            <v>Six Axis Solutions</v>
          </cell>
        </row>
        <row r="625">
          <cell r="A625">
            <v>624</v>
          </cell>
          <cell r="B625" t="str">
            <v>SK Ensine Corp</v>
          </cell>
        </row>
        <row r="626">
          <cell r="A626">
            <v>625</v>
          </cell>
          <cell r="B626" t="str">
            <v>Smith Machine</v>
          </cell>
        </row>
        <row r="627">
          <cell r="A627">
            <v>626</v>
          </cell>
          <cell r="B627" t="str">
            <v>Smithers-Oasis North America</v>
          </cell>
        </row>
        <row r="628">
          <cell r="A628">
            <v>627</v>
          </cell>
          <cell r="B628" t="str">
            <v>Smithers Rapra North America</v>
          </cell>
        </row>
        <row r="629">
          <cell r="A629">
            <v>628</v>
          </cell>
          <cell r="B629" t="str">
            <v>Smoke On the Water</v>
          </cell>
        </row>
        <row r="630">
          <cell r="A630">
            <v>629</v>
          </cell>
          <cell r="B630" t="str">
            <v>Soberay &amp; Sons</v>
          </cell>
        </row>
        <row r="631">
          <cell r="A631">
            <v>630</v>
          </cell>
          <cell r="B631" t="str">
            <v>Solmet Tech</v>
          </cell>
        </row>
        <row r="632">
          <cell r="A632">
            <v>631</v>
          </cell>
          <cell r="B632" t="str">
            <v>Solo Development</v>
          </cell>
        </row>
        <row r="633">
          <cell r="A633">
            <v>632</v>
          </cell>
          <cell r="B633" t="str">
            <v>Solugen</v>
          </cell>
        </row>
        <row r="634">
          <cell r="A634">
            <v>633</v>
          </cell>
          <cell r="B634" t="str">
            <v>Solution413</v>
          </cell>
        </row>
        <row r="635">
          <cell r="A635">
            <v>634</v>
          </cell>
          <cell r="B635" t="str">
            <v>Sonoco Products Company</v>
          </cell>
        </row>
        <row r="636">
          <cell r="A636">
            <v>635</v>
          </cell>
          <cell r="B636" t="str">
            <v>SP PLUS</v>
          </cell>
        </row>
        <row r="637">
          <cell r="A637">
            <v>636</v>
          </cell>
          <cell r="B637" t="str">
            <v>Spears Funeral Home</v>
          </cell>
        </row>
        <row r="638">
          <cell r="A638">
            <v>637</v>
          </cell>
          <cell r="B638" t="str">
            <v>Special Metals Warehousing &amp; Leasing</v>
          </cell>
        </row>
        <row r="639">
          <cell r="A639">
            <v>638</v>
          </cell>
          <cell r="B639" t="str">
            <v>Specialty Products</v>
          </cell>
        </row>
        <row r="640">
          <cell r="A640">
            <v>639</v>
          </cell>
          <cell r="B640" t="str">
            <v>SpectraLab</v>
          </cell>
        </row>
        <row r="641">
          <cell r="A641">
            <v>640</v>
          </cell>
          <cell r="B641" t="str">
            <v>Spencer Forge and Manufacturing Company</v>
          </cell>
        </row>
        <row r="642">
          <cell r="A642">
            <v>641</v>
          </cell>
          <cell r="B642" t="str">
            <v>Spurtree Spices Jamaica, LTD</v>
          </cell>
        </row>
        <row r="643">
          <cell r="A643">
            <v>642</v>
          </cell>
          <cell r="B643" t="str">
            <v>SRP Industries</v>
          </cell>
        </row>
        <row r="644">
          <cell r="A644">
            <v>643</v>
          </cell>
          <cell r="B644" t="str">
            <v>ST Soffiaggio Tecnica s.r.l.</v>
          </cell>
        </row>
        <row r="645">
          <cell r="A645">
            <v>644</v>
          </cell>
          <cell r="B645" t="str">
            <v>St. Armands Baking Co</v>
          </cell>
        </row>
        <row r="646">
          <cell r="A646">
            <v>645</v>
          </cell>
          <cell r="B646" t="str">
            <v>Stamped Steel Products Inc</v>
          </cell>
        </row>
        <row r="647">
          <cell r="A647">
            <v>646</v>
          </cell>
          <cell r="B647" t="str">
            <v>Standard Arms Inc</v>
          </cell>
        </row>
        <row r="648">
          <cell r="A648">
            <v>647</v>
          </cell>
          <cell r="B648" t="str">
            <v>Stark Parks</v>
          </cell>
        </row>
        <row r="649">
          <cell r="A649">
            <v>648</v>
          </cell>
          <cell r="B649" t="str">
            <v>Steere Enterprises</v>
          </cell>
        </row>
        <row r="650">
          <cell r="A650">
            <v>649</v>
          </cell>
          <cell r="B650" t="str">
            <v>Step 2</v>
          </cell>
        </row>
        <row r="651">
          <cell r="A651">
            <v>650</v>
          </cell>
          <cell r="B651" t="str">
            <v>Steris Corporation</v>
          </cell>
        </row>
        <row r="652">
          <cell r="A652">
            <v>651</v>
          </cell>
          <cell r="B652" t="str">
            <v>Sterling Corp</v>
          </cell>
        </row>
        <row r="653">
          <cell r="A653">
            <v>652</v>
          </cell>
          <cell r="B653" t="str">
            <v>StoreTek Engineering</v>
          </cell>
        </row>
        <row r="654">
          <cell r="A654">
            <v>653</v>
          </cell>
          <cell r="B654" t="str">
            <v>Sullivan Industrial</v>
          </cell>
        </row>
        <row r="655">
          <cell r="A655">
            <v>654</v>
          </cell>
          <cell r="B655" t="str">
            <v>Sumitomo Rubber USA, LLC</v>
          </cell>
        </row>
        <row r="656">
          <cell r="A656">
            <v>655</v>
          </cell>
          <cell r="B656" t="str">
            <v>Summit Brands</v>
          </cell>
        </row>
        <row r="657">
          <cell r="A657">
            <v>656</v>
          </cell>
          <cell r="B657" t="str">
            <v>Summit Missions International</v>
          </cell>
        </row>
        <row r="658">
          <cell r="A658">
            <v>657</v>
          </cell>
          <cell r="B658" t="str">
            <v>Sunny Brook Pressed Concrete</v>
          </cell>
        </row>
        <row r="659">
          <cell r="A659">
            <v>658</v>
          </cell>
          <cell r="B659" t="str">
            <v>Superior Die Set Corp</v>
          </cell>
        </row>
        <row r="660">
          <cell r="A660">
            <v>659</v>
          </cell>
          <cell r="B660" t="str">
            <v>Surplus Liquidators</v>
          </cell>
        </row>
        <row r="661">
          <cell r="A661">
            <v>660</v>
          </cell>
          <cell r="B661" t="str">
            <v>Survitec Group</v>
          </cell>
        </row>
        <row r="662">
          <cell r="A662">
            <v>661</v>
          </cell>
          <cell r="B662" t="str">
            <v>Sutphen Towers Inc</v>
          </cell>
        </row>
        <row r="663">
          <cell r="A663">
            <v>662</v>
          </cell>
          <cell r="B663" t="str">
            <v>Switch Back</v>
          </cell>
        </row>
        <row r="664">
          <cell r="A664">
            <v>663</v>
          </cell>
          <cell r="B664" t="str">
            <v>Tameran Graphic Systems Inc</v>
          </cell>
        </row>
        <row r="665">
          <cell r="A665">
            <v>664</v>
          </cell>
          <cell r="B665" t="str">
            <v>Tarkett</v>
          </cell>
        </row>
        <row r="666">
          <cell r="A666">
            <v>665</v>
          </cell>
          <cell r="B666" t="str">
            <v>TDC Systems</v>
          </cell>
        </row>
        <row r="667">
          <cell r="A667">
            <v>666</v>
          </cell>
          <cell r="B667" t="str">
            <v>TeamEPS</v>
          </cell>
        </row>
        <row r="668">
          <cell r="A668">
            <v>667</v>
          </cell>
          <cell r="B668" t="str">
            <v>Tech 2000 Services and Staffing, Inc</v>
          </cell>
        </row>
        <row r="669">
          <cell r="A669">
            <v>668</v>
          </cell>
          <cell r="B669" t="str">
            <v>Tederic Smart Injection North America</v>
          </cell>
        </row>
        <row r="670">
          <cell r="A670">
            <v>669</v>
          </cell>
          <cell r="B670" t="str">
            <v>TerraSource Global</v>
          </cell>
        </row>
        <row r="671">
          <cell r="A671">
            <v>670</v>
          </cell>
          <cell r="B671" t="str">
            <v>Tex-Mex Recycling LLC</v>
          </cell>
        </row>
        <row r="672">
          <cell r="A672">
            <v>671</v>
          </cell>
          <cell r="B672" t="str">
            <v>The Rubber Group</v>
          </cell>
        </row>
        <row r="673">
          <cell r="A673">
            <v>672</v>
          </cell>
          <cell r="B673" t="str">
            <v>Thermo-Rite</v>
          </cell>
        </row>
        <row r="674">
          <cell r="A674">
            <v>673</v>
          </cell>
          <cell r="B674" t="str">
            <v>Thermoform Products</v>
          </cell>
        </row>
        <row r="675">
          <cell r="A675">
            <v>674</v>
          </cell>
          <cell r="B675" t="str">
            <v>Thomas Law</v>
          </cell>
        </row>
        <row r="676">
          <cell r="A676">
            <v>675</v>
          </cell>
          <cell r="B676" t="str">
            <v>Thomas Schreder Electron Energy</v>
          </cell>
        </row>
        <row r="677">
          <cell r="A677">
            <v>676</v>
          </cell>
          <cell r="B677" t="str">
            <v>Thrive Line LLC</v>
          </cell>
        </row>
        <row r="678">
          <cell r="A678">
            <v>677</v>
          </cell>
          <cell r="B678" t="str">
            <v>thyssenkrupp rothe erde USA Inc</v>
          </cell>
        </row>
        <row r="679">
          <cell r="A679">
            <v>678</v>
          </cell>
          <cell r="B679" t="str">
            <v>TKM Printing Solutions</v>
          </cell>
        </row>
        <row r="680">
          <cell r="A680">
            <v>679</v>
          </cell>
          <cell r="B680" t="str">
            <v>TMSI LLC</v>
          </cell>
        </row>
        <row r="681">
          <cell r="A681">
            <v>680</v>
          </cell>
          <cell r="B681" t="str">
            <v>Toledo Molding &amp; Die Inc</v>
          </cell>
        </row>
        <row r="682">
          <cell r="A682">
            <v>681</v>
          </cell>
          <cell r="B682" t="str">
            <v>Toufayan Bakery</v>
          </cell>
        </row>
        <row r="683">
          <cell r="A683">
            <v>682</v>
          </cell>
          <cell r="B683" t="str">
            <v>Towanda Metadyne, Inc</v>
          </cell>
        </row>
        <row r="684">
          <cell r="A684">
            <v>683</v>
          </cell>
          <cell r="B684" t="str">
            <v>Tower Countertops</v>
          </cell>
        </row>
        <row r="685">
          <cell r="A685">
            <v>684</v>
          </cell>
          <cell r="B685" t="str">
            <v>TPC</v>
          </cell>
        </row>
        <row r="686">
          <cell r="A686">
            <v>685</v>
          </cell>
          <cell r="B686" t="str">
            <v>TPE Solutions, Inc</v>
          </cell>
        </row>
        <row r="687">
          <cell r="A687">
            <v>686</v>
          </cell>
          <cell r="B687" t="str">
            <v>Transco Railway Products Inc.</v>
          </cell>
        </row>
        <row r="688">
          <cell r="A688">
            <v>687</v>
          </cell>
          <cell r="B688" t="str">
            <v>Treno Services LLC</v>
          </cell>
        </row>
        <row r="689">
          <cell r="A689">
            <v>688</v>
          </cell>
          <cell r="B689" t="str">
            <v>Tri-Seal OPCO LLC (Tekni-Plex)</v>
          </cell>
        </row>
        <row r="690">
          <cell r="A690">
            <v>689</v>
          </cell>
          <cell r="B690" t="str">
            <v>Tri-Valley Logistics</v>
          </cell>
        </row>
        <row r="691">
          <cell r="A691">
            <v>690</v>
          </cell>
          <cell r="B691" t="str">
            <v>Tribco Inc</v>
          </cell>
        </row>
        <row r="692">
          <cell r="A692">
            <v>691</v>
          </cell>
          <cell r="B692" t="str">
            <v>Tristan Rubber</v>
          </cell>
        </row>
        <row r="693">
          <cell r="A693">
            <v>692</v>
          </cell>
          <cell r="B693" t="str">
            <v>TTR Shipping</v>
          </cell>
        </row>
        <row r="694">
          <cell r="A694">
            <v>693</v>
          </cell>
          <cell r="B694" t="str">
            <v>Tyler Brewer</v>
          </cell>
        </row>
        <row r="695">
          <cell r="A695">
            <v>694</v>
          </cell>
          <cell r="B695" t="str">
            <v>UltraTech</v>
          </cell>
        </row>
        <row r="696">
          <cell r="A696">
            <v>695</v>
          </cell>
          <cell r="B696" t="str">
            <v>Union Confectionery Machinery</v>
          </cell>
        </row>
        <row r="697">
          <cell r="A697">
            <v>696</v>
          </cell>
          <cell r="B697" t="str">
            <v>United Centerless Grinding</v>
          </cell>
        </row>
        <row r="698">
          <cell r="A698">
            <v>697</v>
          </cell>
          <cell r="B698" t="str">
            <v>United Feed Screw LTD</v>
          </cell>
        </row>
        <row r="699">
          <cell r="A699">
            <v>698</v>
          </cell>
          <cell r="B699" t="str">
            <v>United Solutions Leominster</v>
          </cell>
        </row>
        <row r="700">
          <cell r="A700">
            <v>699</v>
          </cell>
          <cell r="B700" t="str">
            <v>Universal Tire Molds INc</v>
          </cell>
        </row>
        <row r="701">
          <cell r="A701">
            <v>700</v>
          </cell>
          <cell r="B701" t="str">
            <v>University of Akron</v>
          </cell>
        </row>
        <row r="702">
          <cell r="A702">
            <v>701</v>
          </cell>
          <cell r="B702" t="str">
            <v>USA Rolls</v>
          </cell>
        </row>
        <row r="703">
          <cell r="A703">
            <v>702</v>
          </cell>
          <cell r="B703" t="str">
            <v>Vacuum Electric Switch Co</v>
          </cell>
        </row>
        <row r="704">
          <cell r="A704">
            <v>703</v>
          </cell>
          <cell r="B704" t="str">
            <v>Vacuum Process Engineering</v>
          </cell>
        </row>
        <row r="705">
          <cell r="A705">
            <v>704</v>
          </cell>
          <cell r="B705" t="str">
            <v>Vadxx Energy</v>
          </cell>
        </row>
        <row r="706">
          <cell r="A706">
            <v>705</v>
          </cell>
          <cell r="B706" t="str">
            <v>Valco Brothers Construction</v>
          </cell>
        </row>
        <row r="707">
          <cell r="A707">
            <v>706</v>
          </cell>
          <cell r="B707" t="str">
            <v>Valley Rubber</v>
          </cell>
        </row>
        <row r="708">
          <cell r="A708">
            <v>707</v>
          </cell>
          <cell r="B708" t="str">
            <v>Valv-Trol, LLC</v>
          </cell>
        </row>
        <row r="709">
          <cell r="A709">
            <v>708</v>
          </cell>
          <cell r="B709" t="str">
            <v>Velvac</v>
          </cell>
        </row>
        <row r="710">
          <cell r="A710">
            <v>709</v>
          </cell>
          <cell r="B710" t="str">
            <v>Ventana USA</v>
          </cell>
        </row>
        <row r="711">
          <cell r="A711">
            <v>710</v>
          </cell>
          <cell r="B711" t="str">
            <v>Vexor Technology</v>
          </cell>
        </row>
        <row r="712">
          <cell r="A712">
            <v>711</v>
          </cell>
          <cell r="B712" t="str">
            <v>Victory Machine</v>
          </cell>
        </row>
        <row r="713">
          <cell r="A713">
            <v>712</v>
          </cell>
          <cell r="B713" t="str">
            <v>Visiconult Corp</v>
          </cell>
        </row>
        <row r="714">
          <cell r="A714">
            <v>713</v>
          </cell>
          <cell r="B714" t="str">
            <v>Vision Global</v>
          </cell>
        </row>
        <row r="715">
          <cell r="A715">
            <v>714</v>
          </cell>
          <cell r="B715" t="str">
            <v>VMI Americas (Customer)</v>
          </cell>
        </row>
        <row r="716">
          <cell r="A716">
            <v>715</v>
          </cell>
          <cell r="B716" t="str">
            <v>WARDJet</v>
          </cell>
        </row>
        <row r="717">
          <cell r="A717">
            <v>716</v>
          </cell>
          <cell r="B717" t="str">
            <v>Warren Frabricating &amp; Machining Corp</v>
          </cell>
        </row>
        <row r="718">
          <cell r="A718">
            <v>717</v>
          </cell>
          <cell r="B718" t="str">
            <v>Wayfare Foods</v>
          </cell>
        </row>
        <row r="719">
          <cell r="A719">
            <v>718</v>
          </cell>
          <cell r="B719" t="str">
            <v>Welded Tubes, Inc</v>
          </cell>
        </row>
        <row r="720">
          <cell r="A720">
            <v>719</v>
          </cell>
          <cell r="B720" t="str">
            <v>Welton Shipping Co LLC</v>
          </cell>
        </row>
        <row r="721">
          <cell r="A721">
            <v>720</v>
          </cell>
          <cell r="B721" t="str">
            <v>Wendt Rigging</v>
          </cell>
        </row>
        <row r="722">
          <cell r="A722">
            <v>721</v>
          </cell>
          <cell r="B722" t="str">
            <v>Westwin Elements</v>
          </cell>
        </row>
        <row r="723">
          <cell r="A723">
            <v>722</v>
          </cell>
          <cell r="B723" t="str">
            <v>Whitacre Greer</v>
          </cell>
        </row>
        <row r="724">
          <cell r="A724">
            <v>723</v>
          </cell>
          <cell r="B724" t="str">
            <v>Wigglesworth Machinery</v>
          </cell>
        </row>
        <row r="725">
          <cell r="A725">
            <v>724</v>
          </cell>
          <cell r="B725" t="str">
            <v>William B Meyer, Inc</v>
          </cell>
        </row>
        <row r="726">
          <cell r="A726">
            <v>725</v>
          </cell>
          <cell r="B726" t="str">
            <v>Willoughby Manufacturing Inc.</v>
          </cell>
        </row>
        <row r="727">
          <cell r="A727">
            <v>726</v>
          </cell>
          <cell r="B727" t="str">
            <v>Winkle Industries</v>
          </cell>
        </row>
        <row r="728">
          <cell r="A728">
            <v>727</v>
          </cell>
          <cell r="B728" t="str">
            <v>Wisconsin Oven Corporation</v>
          </cell>
        </row>
        <row r="729">
          <cell r="A729">
            <v>728</v>
          </cell>
          <cell r="B729" t="str">
            <v>Workman Industrial Services, Inc</v>
          </cell>
        </row>
        <row r="730">
          <cell r="A730">
            <v>729</v>
          </cell>
          <cell r="B730" t="str">
            <v>Workshop Wire Cut and Machine, Inc</v>
          </cell>
        </row>
        <row r="731">
          <cell r="A731">
            <v>730</v>
          </cell>
          <cell r="B731" t="str">
            <v>World Equipment &amp; Machine Sales Co</v>
          </cell>
        </row>
        <row r="732">
          <cell r="A732">
            <v>731</v>
          </cell>
          <cell r="B732" t="str">
            <v>Wyman Gordon</v>
          </cell>
        </row>
        <row r="733">
          <cell r="A733">
            <v>732</v>
          </cell>
          <cell r="B733" t="str">
            <v>Yoder Brothers Machinery</v>
          </cell>
        </row>
        <row r="734">
          <cell r="A734">
            <v>733</v>
          </cell>
          <cell r="B734" t="str">
            <v>Yoder Machinery Sales</v>
          </cell>
        </row>
        <row r="735">
          <cell r="A735">
            <v>734</v>
          </cell>
          <cell r="B735" t="str">
            <v>Yokohama Tire Corporation</v>
          </cell>
        </row>
        <row r="736">
          <cell r="A736">
            <v>735</v>
          </cell>
          <cell r="B736" t="str">
            <v>Zagar</v>
          </cell>
        </row>
        <row r="737">
          <cell r="A737">
            <v>736</v>
          </cell>
          <cell r="B737" t="str">
            <v>ZF Composites</v>
          </cell>
        </row>
        <row r="738">
          <cell r="A738">
            <v>737</v>
          </cell>
          <cell r="B738" t="str">
            <v>Zierke Built Manufacturing Inc</v>
          </cell>
        </row>
        <row r="739">
          <cell r="A739">
            <v>738</v>
          </cell>
          <cell r="B739" t="str">
            <v>Zwirner Equipment Company</v>
          </cell>
        </row>
      </sheetData>
      <sheetData sheetId="1" refreshError="1"/>
      <sheetData sheetId="2" refreshError="1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B6CD5-01A9-4793-8F13-DCE8F87342B8}" name="Table14" displayName="Table14" ref="A1:J969" totalsRowShown="0" headerRowDxfId="31" dataDxfId="30" headerRowBorderDxfId="28" tableBorderDxfId="29" totalsRowBorderDxfId="27">
  <autoFilter ref="A1:J969" xr:uid="{6C0B6CD5-01A9-4793-8F13-DCE8F87342B8}"/>
  <tableColumns count="10">
    <tableColumn id="1" xr3:uid="{347CB17C-AA0C-4361-86A5-9FEB8EB2393E}" name="id" dataDxfId="26"/>
    <tableColumn id="2" xr3:uid="{457EC1B1-9932-4E24-9CD0-379D4250F358}" name="customer_id" dataDxfId="25"/>
    <tableColumn id="3" xr3:uid="{14B2BFB6-A8EE-44C2-9206-8C0D4C6A6043}" name="customer_name" dataDxfId="24">
      <calculatedColumnFormula>IFERROR(VLOOKUP(B2,[1]customers!$A:$B,2,0),"")</calculatedColumnFormula>
    </tableColumn>
    <tableColumn id="5" xr3:uid="{F41632B2-27E4-4ADA-80DE-145177A06CDC}" name="original_company" dataDxfId="23"/>
    <tableColumn id="6" xr3:uid="{06D2BDB9-3551-460F-AC2C-6745DB362085}" name="name" dataDxfId="22"/>
    <tableColumn id="7" xr3:uid="{CC6F51ED-042D-4C3D-B588-CC87FB4BD296}" name="title" dataDxfId="21"/>
    <tableColumn id="8" xr3:uid="{DEC37490-80BC-4529-B081-DC05ED7D9A8E}" name="email" dataDxfId="20"/>
    <tableColumn id="9" xr3:uid="{EEF2455E-FA92-43D5-A098-84E6B1C09DE2}" name="mobile" dataDxfId="19"/>
    <tableColumn id="10" xr3:uid="{810F921F-1745-437F-B9C6-83D9C7CAC794}" name="phone" dataDxfId="18"/>
    <tableColumn id="11" xr3:uid="{4AF28AC2-2930-43D0-809E-C01027BB6F64}" name="is_primary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0B1EE9-91DE-47AA-9695-E3AAEFD90947}" name="Table15" displayName="Table15" ref="A1:L635" totalsRowShown="0" headerRowDxfId="16" dataDxfId="15" headerRowBorderDxfId="13" tableBorderDxfId="14" totalsRowBorderDxfId="12">
  <autoFilter ref="A1:L635" xr:uid="{D60B1EE9-91DE-47AA-9695-E3AAEFD90947}"/>
  <sortState xmlns:xlrd2="http://schemas.microsoft.com/office/spreadsheetml/2017/richdata2" ref="A2:L635">
    <sortCondition ref="F1:F635"/>
  </sortState>
  <tableColumns count="12">
    <tableColumn id="1" xr3:uid="{27EC07EC-CF3E-42E1-B98E-2F4CFF06D80E}" name="id" dataDxfId="11"/>
    <tableColumn id="2" xr3:uid="{A09F056B-39BD-498C-B0A4-F60AD2FBAE65}" name="customer_id" dataDxfId="10"/>
    <tableColumn id="3" xr3:uid="{80D6EFD6-3D66-41AD-AF16-1797C9E80EF8}" name="customer_name" dataDxfId="9">
      <calculatedColumnFormula>IFERROR(VLOOKUP(B2,[1]customers!$A:$B,2,0),"")</calculatedColumnFormula>
    </tableColumn>
    <tableColumn id="4" xr3:uid="{0069B09D-7A8F-4982-9560-DA83A9139680}" name="Scott Correction" dataDxfId="8"/>
    <tableColumn id="12" xr3:uid="{0CD516CD-4A1F-47CD-8CF2-F109FB2B862B}" name="Column1" dataDxfId="7">
      <calculatedColumnFormula array="1">IF(Table15[[#This Row],[Scott Correction]]="",Table15[[#This Row],[customer_id]],_xlfn.XLOOKUP(Table15[[#This Row],[Scott Correction]],[1]!Table2[[#All],[name]],[1]!Table2[[#All],[id]],"",0,1))</calculatedColumnFormula>
    </tableColumn>
    <tableColumn id="5" xr3:uid="{F35E84AF-312F-405A-8DD2-D2986483B344}" name="original_company" dataDxfId="6"/>
    <tableColumn id="6" xr3:uid="{CB5CD642-FECB-4EF9-95DE-65AE6F6FF268}" name="name" dataDxfId="5"/>
    <tableColumn id="7" xr3:uid="{75A78737-BFF8-4E17-A1E9-512877A246B0}" name="title" dataDxfId="4"/>
    <tableColumn id="8" xr3:uid="{6FEE36F9-B5D3-4E22-9826-305FB5FBB70D}" name="email" dataDxfId="3"/>
    <tableColumn id="9" xr3:uid="{40E15C57-D25F-49E5-93BB-479B5D94C8E3}" name="mobile" dataDxfId="2"/>
    <tableColumn id="10" xr3:uid="{E128F9FC-2526-4B5C-A510-46AFD50B51CB}" name="phone" dataDxfId="1"/>
    <tableColumn id="11" xr3:uid="{A5302CB5-C3E6-42E5-8BA4-C4AF05C56FFF}" name="is_prim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E691-519C-4631-A555-16BABACA9A4B}">
  <dimension ref="A1:J969"/>
  <sheetViews>
    <sheetView tabSelected="1" workbookViewId="0">
      <selection sqref="A1:XFD1048576"/>
    </sheetView>
  </sheetViews>
  <sheetFormatPr defaultColWidth="8.7109375" defaultRowHeight="15" x14ac:dyDescent="0.25"/>
  <cols>
    <col min="1" max="1" width="8" customWidth="1"/>
    <col min="2" max="2" width="14.140625" customWidth="1"/>
    <col min="3" max="3" width="44" customWidth="1"/>
    <col min="4" max="4" width="42" customWidth="1"/>
    <col min="5" max="5" width="26" customWidth="1"/>
    <col min="6" max="6" width="18" customWidth="1"/>
    <col min="7" max="7" width="34" customWidth="1"/>
    <col min="8" max="9" width="18" customWidth="1"/>
    <col min="10" max="10" width="12.5703125" customWidth="1"/>
  </cols>
  <sheetData>
    <row r="1" spans="1:10" ht="18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8" customHeight="1" x14ac:dyDescent="0.25">
      <c r="A2" s="4"/>
      <c r="B2" s="5">
        <v>551</v>
      </c>
      <c r="C2" s="6" t="str">
        <f>IFERROR(VLOOKUP(B2,[1]customers!$A:$B,2,0),"")</f>
        <v>Railroad Friction Products Corporation</v>
      </c>
      <c r="D2" s="5" t="s">
        <v>10</v>
      </c>
      <c r="E2" s="5" t="s">
        <v>11</v>
      </c>
      <c r="F2" s="5"/>
      <c r="G2" s="5" t="s">
        <v>12</v>
      </c>
      <c r="H2" s="5" t="s">
        <v>13</v>
      </c>
      <c r="I2" s="5" t="s">
        <v>14</v>
      </c>
      <c r="J2" s="7"/>
    </row>
    <row r="3" spans="1:10" ht="18" customHeight="1" x14ac:dyDescent="0.25">
      <c r="A3" s="8"/>
      <c r="B3" s="9">
        <v>19</v>
      </c>
      <c r="C3" s="6" t="str">
        <f>IFERROR(VLOOKUP(B3,[1]customers!$A:$B,2,0),"")</f>
        <v>Advanced Print Technologies</v>
      </c>
      <c r="D3" s="9" t="s">
        <v>15</v>
      </c>
      <c r="E3" s="9" t="s">
        <v>16</v>
      </c>
      <c r="F3" s="9"/>
      <c r="G3" s="9" t="s">
        <v>17</v>
      </c>
      <c r="H3" s="9"/>
      <c r="I3" s="9" t="s">
        <v>18</v>
      </c>
      <c r="J3" s="10"/>
    </row>
    <row r="4" spans="1:10" ht="18" customHeight="1" x14ac:dyDescent="0.25">
      <c r="A4" s="4"/>
      <c r="B4" s="5">
        <v>462</v>
      </c>
      <c r="C4" s="6" t="str">
        <f>IFERROR(VLOOKUP(B4,[1]customers!$A:$B,2,0),"")</f>
        <v>Nichols Mold Inc</v>
      </c>
      <c r="D4" s="5" t="s">
        <v>19</v>
      </c>
      <c r="E4" s="5" t="s">
        <v>20</v>
      </c>
      <c r="F4" s="5"/>
      <c r="G4" s="5" t="s">
        <v>21</v>
      </c>
      <c r="H4" s="5"/>
      <c r="I4" s="5">
        <v>3302979719</v>
      </c>
      <c r="J4" s="7"/>
    </row>
    <row r="5" spans="1:10" ht="18" customHeight="1" x14ac:dyDescent="0.25">
      <c r="A5" s="8"/>
      <c r="B5" s="9">
        <v>122</v>
      </c>
      <c r="C5" s="6" t="str">
        <f>IFERROR(VLOOKUP(B5,[1]customers!$A:$B,2,0),"")</f>
        <v>Canton Elevator</v>
      </c>
      <c r="D5" s="9" t="s">
        <v>22</v>
      </c>
      <c r="E5" s="9" t="s">
        <v>23</v>
      </c>
      <c r="F5" s="9"/>
      <c r="G5" s="9" t="s">
        <v>24</v>
      </c>
      <c r="H5" s="9"/>
      <c r="I5" s="9">
        <v>3308333600</v>
      </c>
      <c r="J5" s="10"/>
    </row>
    <row r="6" spans="1:10" ht="18" customHeight="1" x14ac:dyDescent="0.25">
      <c r="A6" s="4"/>
      <c r="B6" s="5">
        <v>725</v>
      </c>
      <c r="C6" s="6" t="str">
        <f>IFERROR(VLOOKUP(B6,[1]customers!$A:$B,2,0),"")</f>
        <v>Willoughby Manufacturing Inc.</v>
      </c>
      <c r="D6" s="5" t="s">
        <v>25</v>
      </c>
      <c r="E6" s="5" t="s">
        <v>26</v>
      </c>
      <c r="F6" s="5"/>
      <c r="G6" s="5" t="s">
        <v>27</v>
      </c>
      <c r="H6" s="5"/>
      <c r="I6" s="5">
        <v>3304028217</v>
      </c>
      <c r="J6" s="7"/>
    </row>
    <row r="7" spans="1:10" ht="18" customHeight="1" x14ac:dyDescent="0.25">
      <c r="A7" s="4"/>
      <c r="B7" s="5">
        <v>1</v>
      </c>
      <c r="C7" s="6" t="str">
        <f>IFERROR(VLOOKUP(B7,[1]customers!$A:$B,2,0),"")</f>
        <v>A &amp; B Import Export Inc</v>
      </c>
      <c r="D7" s="5" t="s">
        <v>28</v>
      </c>
      <c r="E7" s="5" t="s">
        <v>29</v>
      </c>
      <c r="F7" s="5"/>
      <c r="G7" s="5" t="s">
        <v>30</v>
      </c>
      <c r="H7" s="5"/>
      <c r="I7" s="5" t="s">
        <v>31</v>
      </c>
      <c r="J7" s="7"/>
    </row>
    <row r="8" spans="1:10" ht="18" customHeight="1" x14ac:dyDescent="0.25">
      <c r="A8" s="8"/>
      <c r="B8" s="9">
        <v>1</v>
      </c>
      <c r="C8" s="6" t="str">
        <f>IFERROR(VLOOKUP(B8,[1]customers!$A:$B,2,0),"")</f>
        <v>A &amp; B Import Export Inc</v>
      </c>
      <c r="D8" s="9" t="s">
        <v>28</v>
      </c>
      <c r="E8" s="9" t="s">
        <v>32</v>
      </c>
      <c r="F8" s="9"/>
      <c r="G8" s="9" t="s">
        <v>33</v>
      </c>
      <c r="H8" s="9"/>
      <c r="I8" s="9" t="s">
        <v>34</v>
      </c>
      <c r="J8" s="10"/>
    </row>
    <row r="9" spans="1:10" ht="18" customHeight="1" x14ac:dyDescent="0.25">
      <c r="A9" s="4"/>
      <c r="B9" s="5">
        <v>59</v>
      </c>
      <c r="C9" s="6" t="str">
        <f>IFERROR(VLOOKUP(B9,[1]customers!$A:$B,2,0),"")</f>
        <v>ARE Truck Caps</v>
      </c>
      <c r="D9" s="5" t="s">
        <v>35</v>
      </c>
      <c r="E9" s="5" t="s">
        <v>36</v>
      </c>
      <c r="F9" s="5"/>
      <c r="G9" s="5" t="s">
        <v>37</v>
      </c>
      <c r="H9" s="5" t="s">
        <v>38</v>
      </c>
      <c r="I9" s="5" t="s">
        <v>39</v>
      </c>
      <c r="J9" s="7"/>
    </row>
    <row r="10" spans="1:10" ht="18" customHeight="1" x14ac:dyDescent="0.25">
      <c r="A10" s="8"/>
      <c r="B10" s="9">
        <v>59</v>
      </c>
      <c r="C10" s="6" t="str">
        <f>IFERROR(VLOOKUP(B10,[1]customers!$A:$B,2,0),"")</f>
        <v>ARE Truck Caps</v>
      </c>
      <c r="D10" s="9" t="s">
        <v>35</v>
      </c>
      <c r="E10" s="9" t="s">
        <v>40</v>
      </c>
      <c r="F10" s="9"/>
      <c r="G10" s="9" t="s">
        <v>41</v>
      </c>
      <c r="H10" s="9"/>
      <c r="I10" s="9" t="s">
        <v>42</v>
      </c>
      <c r="J10" s="10"/>
    </row>
    <row r="11" spans="1:10" ht="18" customHeight="1" x14ac:dyDescent="0.25">
      <c r="A11" s="4"/>
      <c r="B11" s="5">
        <v>59</v>
      </c>
      <c r="C11" s="6" t="str">
        <f>IFERROR(VLOOKUP(B11,[1]customers!$A:$B,2,0),"")</f>
        <v>ARE Truck Caps</v>
      </c>
      <c r="D11" s="5" t="s">
        <v>35</v>
      </c>
      <c r="E11" s="5" t="s">
        <v>43</v>
      </c>
      <c r="F11" s="5"/>
      <c r="G11" s="5" t="s">
        <v>44</v>
      </c>
      <c r="H11" s="5"/>
      <c r="I11" s="5" t="s">
        <v>45</v>
      </c>
      <c r="J11" s="7"/>
    </row>
    <row r="12" spans="1:10" ht="18" customHeight="1" x14ac:dyDescent="0.25">
      <c r="A12" s="8"/>
      <c r="B12" s="9">
        <v>59</v>
      </c>
      <c r="C12" s="6" t="str">
        <f>IFERROR(VLOOKUP(B12,[1]customers!$A:$B,2,0),"")</f>
        <v>ARE Truck Caps</v>
      </c>
      <c r="D12" s="9" t="s">
        <v>35</v>
      </c>
      <c r="E12" s="9" t="s">
        <v>46</v>
      </c>
      <c r="F12" s="9"/>
      <c r="G12" s="9" t="s">
        <v>47</v>
      </c>
      <c r="H12" s="9" t="s">
        <v>48</v>
      </c>
      <c r="I12" s="9" t="s">
        <v>49</v>
      </c>
      <c r="J12" s="10"/>
    </row>
    <row r="13" spans="1:10" ht="18" customHeight="1" x14ac:dyDescent="0.25">
      <c r="A13" s="4"/>
      <c r="B13" s="5">
        <v>59</v>
      </c>
      <c r="C13" s="6" t="str">
        <f>IFERROR(VLOOKUP(B13,[1]customers!$A:$B,2,0),"")</f>
        <v>ARE Truck Caps</v>
      </c>
      <c r="D13" s="5" t="s">
        <v>35</v>
      </c>
      <c r="E13" s="5" t="s">
        <v>50</v>
      </c>
      <c r="F13" s="5"/>
      <c r="G13" s="5" t="s">
        <v>51</v>
      </c>
      <c r="H13" s="5" t="s">
        <v>52</v>
      </c>
      <c r="I13" s="5" t="s">
        <v>53</v>
      </c>
      <c r="J13" s="7"/>
    </row>
    <row r="14" spans="1:10" ht="18" customHeight="1" x14ac:dyDescent="0.25">
      <c r="A14" s="8"/>
      <c r="B14" s="9">
        <v>59</v>
      </c>
      <c r="C14" s="6" t="str">
        <f>IFERROR(VLOOKUP(B14,[1]customers!$A:$B,2,0),"")</f>
        <v>ARE Truck Caps</v>
      </c>
      <c r="D14" s="9" t="s">
        <v>35</v>
      </c>
      <c r="E14" s="9" t="s">
        <v>54</v>
      </c>
      <c r="F14" s="9"/>
      <c r="G14" s="9" t="s">
        <v>55</v>
      </c>
      <c r="H14" s="9"/>
      <c r="I14" s="9" t="s">
        <v>56</v>
      </c>
      <c r="J14" s="10"/>
    </row>
    <row r="15" spans="1:10" ht="18" customHeight="1" x14ac:dyDescent="0.25">
      <c r="A15" s="4"/>
      <c r="B15" s="5">
        <v>59</v>
      </c>
      <c r="C15" s="6" t="str">
        <f>IFERROR(VLOOKUP(B15,[1]customers!$A:$B,2,0),"")</f>
        <v>ARE Truck Caps</v>
      </c>
      <c r="D15" s="5" t="s">
        <v>35</v>
      </c>
      <c r="E15" s="5" t="s">
        <v>54</v>
      </c>
      <c r="F15" s="5"/>
      <c r="G15" s="5" t="s">
        <v>55</v>
      </c>
      <c r="H15" s="5"/>
      <c r="I15" s="5" t="s">
        <v>56</v>
      </c>
      <c r="J15" s="7"/>
    </row>
    <row r="16" spans="1:10" ht="18" customHeight="1" x14ac:dyDescent="0.25">
      <c r="A16" s="4"/>
      <c r="B16" s="5">
        <v>3</v>
      </c>
      <c r="C16" s="6" t="str">
        <f>IFERROR(VLOOKUP(B16,[1]customers!$A:$B,2,0),"")</f>
        <v>Aakash Patel</v>
      </c>
      <c r="D16" s="5" t="s">
        <v>57</v>
      </c>
      <c r="E16" s="5" t="s">
        <v>57</v>
      </c>
      <c r="F16" s="5"/>
      <c r="G16" s="5" t="s">
        <v>58</v>
      </c>
      <c r="H16" s="5"/>
      <c r="I16" s="5" t="s">
        <v>59</v>
      </c>
      <c r="J16" s="7"/>
    </row>
    <row r="17" spans="1:10" ht="18" customHeight="1" x14ac:dyDescent="0.25">
      <c r="A17" s="8"/>
      <c r="B17" s="9">
        <v>4</v>
      </c>
      <c r="C17" s="6" t="str">
        <f>IFERROR(VLOOKUP(B17,[1]customers!$A:$B,2,0),"")</f>
        <v>Aaron Equipment Company</v>
      </c>
      <c r="D17" s="9" t="s">
        <v>60</v>
      </c>
      <c r="E17" s="9" t="s">
        <v>61</v>
      </c>
      <c r="F17" s="9"/>
      <c r="G17" s="9" t="s">
        <v>62</v>
      </c>
      <c r="H17" s="9"/>
      <c r="I17" s="9">
        <v>6302387545</v>
      </c>
      <c r="J17" s="10"/>
    </row>
    <row r="18" spans="1:10" ht="18" customHeight="1" x14ac:dyDescent="0.25">
      <c r="A18" s="4"/>
      <c r="B18" s="5">
        <v>5</v>
      </c>
      <c r="C18" s="6" t="str">
        <f>IFERROR(VLOOKUP(B18,[1]customers!$A:$B,2,0),"")</f>
        <v>AB Sustentable Environmental</v>
      </c>
      <c r="D18" s="5" t="s">
        <v>63</v>
      </c>
      <c r="E18" s="5" t="s">
        <v>64</v>
      </c>
      <c r="F18" s="5"/>
      <c r="G18" s="5" t="s">
        <v>65</v>
      </c>
      <c r="H18" s="5"/>
      <c r="I18" s="5"/>
      <c r="J18" s="7"/>
    </row>
    <row r="19" spans="1:10" ht="18" customHeight="1" x14ac:dyDescent="0.25">
      <c r="A19" s="4"/>
      <c r="B19" s="5">
        <v>7</v>
      </c>
      <c r="C19" s="6" t="str">
        <f>IFERROR(VLOOKUP(B19,[1]customers!$A:$B,2,0),"")</f>
        <v>Accel Group, Inc</v>
      </c>
      <c r="D19" s="5" t="s">
        <v>66</v>
      </c>
      <c r="E19" s="5" t="s">
        <v>67</v>
      </c>
      <c r="F19" s="5"/>
      <c r="G19" s="5" t="s">
        <v>68</v>
      </c>
      <c r="H19" s="5"/>
      <c r="I19" s="5" t="s">
        <v>69</v>
      </c>
      <c r="J19" s="7"/>
    </row>
    <row r="20" spans="1:10" ht="18" customHeight="1" x14ac:dyDescent="0.25">
      <c r="A20" s="8"/>
      <c r="B20" s="9">
        <v>7</v>
      </c>
      <c r="C20" s="6" t="str">
        <f>IFERROR(VLOOKUP(B20,[1]customers!$A:$B,2,0),"")</f>
        <v>Accel Group, Inc</v>
      </c>
      <c r="D20" s="9" t="s">
        <v>66</v>
      </c>
      <c r="E20" s="9" t="s">
        <v>70</v>
      </c>
      <c r="F20" s="9"/>
      <c r="G20" s="9" t="s">
        <v>71</v>
      </c>
      <c r="H20" s="9"/>
      <c r="I20" s="9" t="s">
        <v>72</v>
      </c>
      <c r="J20" s="10"/>
    </row>
    <row r="21" spans="1:10" ht="18" customHeight="1" x14ac:dyDescent="0.25">
      <c r="A21" s="4"/>
      <c r="B21" s="5">
        <v>9</v>
      </c>
      <c r="C21" s="6" t="str">
        <f>IFERROR(VLOOKUP(B21,[1]customers!$A:$B,2,0),"")</f>
        <v>Accurate Steel</v>
      </c>
      <c r="D21" s="5" t="s">
        <v>73</v>
      </c>
      <c r="E21" s="5" t="s">
        <v>74</v>
      </c>
      <c r="F21" s="5"/>
      <c r="G21" s="5" t="s">
        <v>75</v>
      </c>
      <c r="H21" s="5"/>
      <c r="I21" s="5" t="s">
        <v>76</v>
      </c>
      <c r="J21" s="7"/>
    </row>
    <row r="22" spans="1:10" ht="18" customHeight="1" x14ac:dyDescent="0.25">
      <c r="A22" s="4"/>
      <c r="B22" s="5">
        <v>12</v>
      </c>
      <c r="C22" s="6" t="str">
        <f>IFERROR(VLOOKUP(B22,[1]customers!$A:$B,2,0),"")</f>
        <v>Ace Products &amp; Consulting LLC</v>
      </c>
      <c r="D22" s="5" t="s">
        <v>77</v>
      </c>
      <c r="E22" s="5" t="s">
        <v>78</v>
      </c>
      <c r="F22" s="5"/>
      <c r="G22" s="5" t="s">
        <v>79</v>
      </c>
      <c r="H22" s="5"/>
      <c r="I22" s="5" t="s">
        <v>80</v>
      </c>
      <c r="J22" s="7"/>
    </row>
    <row r="23" spans="1:10" ht="18" customHeight="1" x14ac:dyDescent="0.25">
      <c r="A23" s="8"/>
      <c r="B23" s="9">
        <v>14</v>
      </c>
      <c r="C23" s="6" t="str">
        <f>IFERROR(VLOOKUP(B23,[1]customers!$A:$B,2,0),"")</f>
        <v>Additive Engineering</v>
      </c>
      <c r="D23" s="9" t="s">
        <v>81</v>
      </c>
      <c r="E23" s="9" t="s">
        <v>82</v>
      </c>
      <c r="F23" s="9"/>
      <c r="G23" s="9"/>
      <c r="H23" s="9" t="s">
        <v>83</v>
      </c>
      <c r="I23" s="9" t="s">
        <v>84</v>
      </c>
      <c r="J23" s="10"/>
    </row>
    <row r="24" spans="1:10" ht="18" customHeight="1" x14ac:dyDescent="0.25">
      <c r="A24" s="4"/>
      <c r="B24" s="5">
        <v>15</v>
      </c>
      <c r="C24" s="6" t="str">
        <f>IFERROR(VLOOKUP(B24,[1]customers!$A:$B,2,0),"")</f>
        <v>ADJ Industries US Inc</v>
      </c>
      <c r="D24" s="5" t="s">
        <v>85</v>
      </c>
      <c r="E24" s="5" t="s">
        <v>86</v>
      </c>
      <c r="F24" s="5"/>
      <c r="G24" s="5" t="s">
        <v>87</v>
      </c>
      <c r="H24" s="5"/>
      <c r="I24" s="5" t="s">
        <v>88</v>
      </c>
      <c r="J24" s="7"/>
    </row>
    <row r="25" spans="1:10" ht="18" customHeight="1" x14ac:dyDescent="0.25">
      <c r="A25" s="8"/>
      <c r="B25" s="9">
        <v>16</v>
      </c>
      <c r="C25" s="6" t="str">
        <f>IFERROR(VLOOKUP(B25,[1]customers!$A:$B,2,0),"")</f>
        <v>Advanced Coldforming Co</v>
      </c>
      <c r="D25" s="9" t="s">
        <v>89</v>
      </c>
      <c r="E25" s="9" t="s">
        <v>90</v>
      </c>
      <c r="F25" s="9"/>
      <c r="G25" s="9" t="s">
        <v>91</v>
      </c>
      <c r="H25" s="9"/>
      <c r="I25" s="9"/>
      <c r="J25" s="10"/>
    </row>
    <row r="26" spans="1:10" ht="18" customHeight="1" x14ac:dyDescent="0.25">
      <c r="A26" s="8"/>
      <c r="B26" s="9">
        <v>17</v>
      </c>
      <c r="C26" s="6" t="str">
        <f>IFERROR(VLOOKUP(B26,[1]customers!$A:$B,2,0),"")</f>
        <v>Advanced Machinery Companies</v>
      </c>
      <c r="D26" s="9" t="s">
        <v>92</v>
      </c>
      <c r="E26" s="9" t="s">
        <v>93</v>
      </c>
      <c r="F26" s="9"/>
      <c r="G26" s="9" t="s">
        <v>94</v>
      </c>
      <c r="H26" s="9" t="s">
        <v>95</v>
      </c>
      <c r="I26" s="9" t="s">
        <v>96</v>
      </c>
      <c r="J26" s="10"/>
    </row>
    <row r="27" spans="1:10" ht="18" customHeight="1" x14ac:dyDescent="0.25">
      <c r="A27" s="4"/>
      <c r="B27" s="5">
        <v>18</v>
      </c>
      <c r="C27" s="6" t="str">
        <f>IFERROR(VLOOKUP(B27,[1]customers!$A:$B,2,0),"")</f>
        <v>Advanced Poly Packaging, Inc</v>
      </c>
      <c r="D27" s="5" t="s">
        <v>97</v>
      </c>
      <c r="E27" s="5" t="s">
        <v>98</v>
      </c>
      <c r="F27" s="5"/>
      <c r="G27" s="5" t="s">
        <v>99</v>
      </c>
      <c r="H27" s="5"/>
      <c r="I27" s="5" t="s">
        <v>100</v>
      </c>
      <c r="J27" s="7"/>
    </row>
    <row r="28" spans="1:10" ht="18" customHeight="1" x14ac:dyDescent="0.25">
      <c r="A28" s="8"/>
      <c r="B28" s="9">
        <v>19</v>
      </c>
      <c r="C28" s="6" t="str">
        <f>IFERROR(VLOOKUP(B28,[1]customers!$A:$B,2,0),"")</f>
        <v>Advanced Print Technologies</v>
      </c>
      <c r="D28" s="9" t="s">
        <v>101</v>
      </c>
      <c r="E28" s="9" t="s">
        <v>102</v>
      </c>
      <c r="F28" s="9"/>
      <c r="G28" s="9" t="s">
        <v>103</v>
      </c>
      <c r="H28" s="9"/>
      <c r="I28" s="9" t="s">
        <v>104</v>
      </c>
      <c r="J28" s="10"/>
    </row>
    <row r="29" spans="1:10" ht="18" customHeight="1" x14ac:dyDescent="0.25">
      <c r="A29" s="4"/>
      <c r="B29" s="5">
        <v>20</v>
      </c>
      <c r="C29" s="6" t="str">
        <f>IFERROR(VLOOKUP(B29,[1]customers!$A:$B,2,0),"")</f>
        <v>Advanced Transports</v>
      </c>
      <c r="D29" s="5" t="s">
        <v>105</v>
      </c>
      <c r="E29" s="5" t="s">
        <v>106</v>
      </c>
      <c r="F29" s="5"/>
      <c r="G29" s="5" t="s">
        <v>107</v>
      </c>
      <c r="H29" s="5"/>
      <c r="I29" s="5" t="s">
        <v>108</v>
      </c>
      <c r="J29" s="7"/>
    </row>
    <row r="30" spans="1:10" ht="18" customHeight="1" x14ac:dyDescent="0.25">
      <c r="A30" s="8"/>
      <c r="B30" s="9">
        <v>23</v>
      </c>
      <c r="C30" s="6" t="str">
        <f>IFERROR(VLOOKUP(B30,[1]customers!$A:$B,2,0),"")</f>
        <v>Air Force One</v>
      </c>
      <c r="D30" s="9" t="s">
        <v>109</v>
      </c>
      <c r="E30" s="9" t="s">
        <v>110</v>
      </c>
      <c r="F30" s="9"/>
      <c r="G30" s="9" t="s">
        <v>111</v>
      </c>
      <c r="H30" s="9"/>
      <c r="I30" s="9" t="s">
        <v>112</v>
      </c>
      <c r="J30" s="10"/>
    </row>
    <row r="31" spans="1:10" ht="18" customHeight="1" x14ac:dyDescent="0.25">
      <c r="A31" s="4"/>
      <c r="B31" s="5">
        <v>24</v>
      </c>
      <c r="C31" s="6" t="str">
        <f>IFERROR(VLOOKUP(B31,[1]customers!$A:$B,2,0),"")</f>
        <v>Akro-Mils</v>
      </c>
      <c r="D31" s="5" t="s">
        <v>113</v>
      </c>
      <c r="E31" s="5" t="s">
        <v>114</v>
      </c>
      <c r="F31" s="5"/>
      <c r="G31" s="5" t="s">
        <v>115</v>
      </c>
      <c r="H31" s="5"/>
      <c r="I31" s="5" t="s">
        <v>116</v>
      </c>
      <c r="J31" s="7"/>
    </row>
    <row r="32" spans="1:10" ht="18" customHeight="1" x14ac:dyDescent="0.25">
      <c r="A32" s="8"/>
      <c r="B32" s="9">
        <v>25</v>
      </c>
      <c r="C32" s="6" t="str">
        <f>IFERROR(VLOOKUP(B32,[1]customers!$A:$B,2,0),"")</f>
        <v>Akron Polymer Products</v>
      </c>
      <c r="D32" s="9" t="s">
        <v>117</v>
      </c>
      <c r="E32" s="9" t="s">
        <v>118</v>
      </c>
      <c r="F32" s="9"/>
      <c r="G32" s="9" t="s">
        <v>119</v>
      </c>
      <c r="H32" s="9"/>
      <c r="I32" s="9" t="s">
        <v>120</v>
      </c>
      <c r="J32" s="10"/>
    </row>
    <row r="33" spans="1:10" ht="18" customHeight="1" x14ac:dyDescent="0.25">
      <c r="A33" s="4"/>
      <c r="B33" s="5">
        <v>25</v>
      </c>
      <c r="C33" s="6" t="str">
        <f>IFERROR(VLOOKUP(B33,[1]customers!$A:$B,2,0),"")</f>
        <v>Akron Polymer Products</v>
      </c>
      <c r="D33" s="5" t="s">
        <v>117</v>
      </c>
      <c r="E33" s="5" t="s">
        <v>121</v>
      </c>
      <c r="F33" s="5"/>
      <c r="G33" s="5" t="s">
        <v>122</v>
      </c>
      <c r="H33" s="5" t="s">
        <v>123</v>
      </c>
      <c r="I33" s="5" t="s">
        <v>124</v>
      </c>
      <c r="J33" s="7"/>
    </row>
    <row r="34" spans="1:10" ht="18" customHeight="1" x14ac:dyDescent="0.25">
      <c r="A34" s="8"/>
      <c r="B34" s="9">
        <v>27</v>
      </c>
      <c r="C34" s="6" t="str">
        <f>IFERROR(VLOOKUP(B34,[1]customers!$A:$B,2,0),"")</f>
        <v>Akron Tool &amp; Die</v>
      </c>
      <c r="D34" s="9" t="s">
        <v>125</v>
      </c>
      <c r="E34" s="9" t="s">
        <v>126</v>
      </c>
      <c r="F34" s="9"/>
      <c r="G34" s="9" t="s">
        <v>127</v>
      </c>
      <c r="H34" s="9"/>
      <c r="I34" s="9" t="s">
        <v>128</v>
      </c>
      <c r="J34" s="10"/>
    </row>
    <row r="35" spans="1:10" ht="18" customHeight="1" x14ac:dyDescent="0.25">
      <c r="A35" s="4"/>
      <c r="B35" s="5">
        <v>29</v>
      </c>
      <c r="C35" s="6" t="str">
        <f>IFERROR(VLOOKUP(B35,[1]customers!$A:$B,2,0),"")</f>
        <v>Alexander's Mobility Services</v>
      </c>
      <c r="D35" s="5" t="s">
        <v>129</v>
      </c>
      <c r="E35" s="5" t="s">
        <v>130</v>
      </c>
      <c r="F35" s="5"/>
      <c r="G35" s="5" t="s">
        <v>131</v>
      </c>
      <c r="H35" s="5"/>
      <c r="I35" s="5" t="s">
        <v>132</v>
      </c>
      <c r="J35" s="7"/>
    </row>
    <row r="36" spans="1:10" ht="18" customHeight="1" x14ac:dyDescent="0.25">
      <c r="A36" s="8"/>
      <c r="B36" s="9">
        <v>31</v>
      </c>
      <c r="C36" s="6" t="str">
        <f>IFERROR(VLOOKUP(B36,[1]customers!$A:$B,2,0),"")</f>
        <v>Alfe Heat Treating</v>
      </c>
      <c r="D36" s="9" t="s">
        <v>133</v>
      </c>
      <c r="E36" s="9" t="s">
        <v>134</v>
      </c>
      <c r="F36" s="9"/>
      <c r="G36" s="9"/>
      <c r="H36" s="9"/>
      <c r="I36" s="9" t="s">
        <v>135</v>
      </c>
      <c r="J36" s="10"/>
    </row>
    <row r="37" spans="1:10" ht="18" customHeight="1" x14ac:dyDescent="0.25">
      <c r="A37" s="4"/>
      <c r="B37" s="5">
        <v>31</v>
      </c>
      <c r="C37" s="6" t="str">
        <f>IFERROR(VLOOKUP(B37,[1]customers!$A:$B,2,0),"")</f>
        <v>Alfe Heat Treating</v>
      </c>
      <c r="D37" s="5" t="s">
        <v>133</v>
      </c>
      <c r="E37" s="5" t="s">
        <v>136</v>
      </c>
      <c r="F37" s="5"/>
      <c r="G37" s="5" t="s">
        <v>137</v>
      </c>
      <c r="H37" s="5" t="s">
        <v>138</v>
      </c>
      <c r="I37" s="5"/>
      <c r="J37" s="7"/>
    </row>
    <row r="38" spans="1:10" ht="18" customHeight="1" x14ac:dyDescent="0.25">
      <c r="A38" s="8"/>
      <c r="B38" s="9">
        <v>69</v>
      </c>
      <c r="C38" s="6" t="str">
        <f>IFERROR(VLOOKUP(B38,[1]customers!$A:$B,2,0),"")</f>
        <v>Atlas Crane</v>
      </c>
      <c r="D38" s="9" t="s">
        <v>139</v>
      </c>
      <c r="E38" s="9" t="s">
        <v>140</v>
      </c>
      <c r="F38" s="9"/>
      <c r="G38" s="9" t="s">
        <v>141</v>
      </c>
      <c r="H38" s="9" t="s">
        <v>142</v>
      </c>
      <c r="I38" s="9" t="s">
        <v>143</v>
      </c>
      <c r="J38" s="10"/>
    </row>
    <row r="39" spans="1:10" ht="18" customHeight="1" x14ac:dyDescent="0.25">
      <c r="A39" s="4"/>
      <c r="B39" s="5">
        <v>69</v>
      </c>
      <c r="C39" s="6" t="str">
        <f>IFERROR(VLOOKUP(B39,[1]customers!$A:$B,2,0),"")</f>
        <v>Atlas Crane</v>
      </c>
      <c r="D39" s="5" t="s">
        <v>139</v>
      </c>
      <c r="E39" s="5" t="s">
        <v>144</v>
      </c>
      <c r="F39" s="5"/>
      <c r="G39" s="5" t="s">
        <v>145</v>
      </c>
      <c r="H39" s="5" t="s">
        <v>146</v>
      </c>
      <c r="I39" s="5" t="s">
        <v>147</v>
      </c>
      <c r="J39" s="7"/>
    </row>
    <row r="40" spans="1:10" ht="18" customHeight="1" x14ac:dyDescent="0.25">
      <c r="A40" s="8"/>
      <c r="B40" s="9">
        <v>32</v>
      </c>
      <c r="C40" s="6" t="str">
        <f>IFERROR(VLOOKUP(B40,[1]customers!$A:$B,2,0),"")</f>
        <v>All-Metal Fabrication LLC</v>
      </c>
      <c r="D40" s="9" t="s">
        <v>148</v>
      </c>
      <c r="E40" s="9" t="s">
        <v>149</v>
      </c>
      <c r="F40" s="9"/>
      <c r="G40" s="9" t="s">
        <v>150</v>
      </c>
      <c r="H40" s="9"/>
      <c r="I40" s="9">
        <v>3303169981</v>
      </c>
      <c r="J40" s="10"/>
    </row>
    <row r="41" spans="1:10" ht="18" customHeight="1" x14ac:dyDescent="0.25">
      <c r="A41" s="4"/>
      <c r="B41" s="5">
        <v>32</v>
      </c>
      <c r="C41" s="6" t="str">
        <f>IFERROR(VLOOKUP(B41,[1]customers!$A:$B,2,0),"")</f>
        <v>All-Metal Fabrication LLC</v>
      </c>
      <c r="D41" s="5" t="s">
        <v>148</v>
      </c>
      <c r="E41" s="5" t="s">
        <v>151</v>
      </c>
      <c r="F41" s="5"/>
      <c r="G41" s="5" t="s">
        <v>150</v>
      </c>
      <c r="H41" s="5" t="s">
        <v>152</v>
      </c>
      <c r="I41" s="5" t="s">
        <v>153</v>
      </c>
      <c r="J41" s="7"/>
    </row>
    <row r="42" spans="1:10" ht="18" customHeight="1" x14ac:dyDescent="0.25">
      <c r="A42" s="8"/>
      <c r="B42" s="9">
        <v>32</v>
      </c>
      <c r="C42" s="6" t="str">
        <f>IFERROR(VLOOKUP(B42,[1]customers!$A:$B,2,0),"")</f>
        <v>All-Metal Fabrication LLC</v>
      </c>
      <c r="D42" s="9" t="s">
        <v>148</v>
      </c>
      <c r="E42" s="9" t="s">
        <v>151</v>
      </c>
      <c r="F42" s="9"/>
      <c r="G42" s="9" t="s">
        <v>150</v>
      </c>
      <c r="H42" s="9" t="s">
        <v>152</v>
      </c>
      <c r="I42" s="9" t="s">
        <v>153</v>
      </c>
      <c r="J42" s="10"/>
    </row>
    <row r="43" spans="1:10" ht="18" customHeight="1" x14ac:dyDescent="0.25">
      <c r="A43" s="4"/>
      <c r="B43" s="5">
        <v>33</v>
      </c>
      <c r="C43" s="6" t="str">
        <f>IFERROR(VLOOKUP(B43,[1]customers!$A:$B,2,0),"")</f>
        <v>All Ohio Threaded Rod Co</v>
      </c>
      <c r="D43" s="5" t="s">
        <v>154</v>
      </c>
      <c r="E43" s="5" t="s">
        <v>155</v>
      </c>
      <c r="F43" s="5"/>
      <c r="G43" s="5" t="s">
        <v>156</v>
      </c>
      <c r="H43" s="5"/>
      <c r="I43" s="5" t="s">
        <v>157</v>
      </c>
      <c r="J43" s="7"/>
    </row>
    <row r="44" spans="1:10" ht="18" customHeight="1" x14ac:dyDescent="0.25">
      <c r="A44" s="8"/>
      <c r="B44" s="9">
        <v>35</v>
      </c>
      <c r="C44" s="6" t="str">
        <f>IFERROR(VLOOKUP(B44,[1]customers!$A:$B,2,0),"")</f>
        <v>Allied Mineral Products, Inc</v>
      </c>
      <c r="D44" s="9" t="s">
        <v>158</v>
      </c>
      <c r="E44" s="9" t="s">
        <v>159</v>
      </c>
      <c r="F44" s="9"/>
      <c r="G44" s="9" t="s">
        <v>160</v>
      </c>
      <c r="H44" s="9" t="s">
        <v>161</v>
      </c>
      <c r="I44" s="9" t="s">
        <v>162</v>
      </c>
      <c r="J44" s="10"/>
    </row>
    <row r="45" spans="1:10" ht="18" customHeight="1" x14ac:dyDescent="0.25">
      <c r="A45" s="4"/>
      <c r="B45" s="5">
        <v>37</v>
      </c>
      <c r="C45" s="6" t="str">
        <f>IFERROR(VLOOKUP(B45,[1]customers!$A:$B,2,0),"")</f>
        <v>Allways Precision Inc</v>
      </c>
      <c r="D45" s="5" t="s">
        <v>163</v>
      </c>
      <c r="E45" s="5" t="s">
        <v>164</v>
      </c>
      <c r="F45" s="5"/>
      <c r="G45" s="5"/>
      <c r="H45" s="5" t="s">
        <v>165</v>
      </c>
      <c r="I45" s="5"/>
      <c r="J45" s="7"/>
    </row>
    <row r="46" spans="1:10" ht="18" customHeight="1" x14ac:dyDescent="0.25">
      <c r="A46" s="8"/>
      <c r="B46" s="9">
        <v>65</v>
      </c>
      <c r="C46" s="6" t="str">
        <f>IFERROR(VLOOKUP(B46,[1]customers!$A:$B,2,0),"")</f>
        <v>ASC Industries Inc.</v>
      </c>
      <c r="D46" s="9" t="s">
        <v>166</v>
      </c>
      <c r="E46" s="9" t="s">
        <v>167</v>
      </c>
      <c r="F46" s="9"/>
      <c r="G46" s="9" t="s">
        <v>168</v>
      </c>
      <c r="H46" s="9" t="s">
        <v>169</v>
      </c>
      <c r="I46" s="9" t="s">
        <v>170</v>
      </c>
      <c r="J46" s="10"/>
    </row>
    <row r="47" spans="1:10" ht="18" customHeight="1" x14ac:dyDescent="0.25">
      <c r="A47" s="4"/>
      <c r="B47" s="5">
        <v>65</v>
      </c>
      <c r="C47" s="6" t="str">
        <f>IFERROR(VLOOKUP(B47,[1]customers!$A:$B,2,0),"")</f>
        <v>ASC Industries Inc.</v>
      </c>
      <c r="D47" s="5" t="s">
        <v>166</v>
      </c>
      <c r="E47" s="5" t="s">
        <v>171</v>
      </c>
      <c r="F47" s="5"/>
      <c r="G47" s="5" t="s">
        <v>172</v>
      </c>
      <c r="H47" s="5" t="s">
        <v>173</v>
      </c>
      <c r="I47" s="5" t="s">
        <v>174</v>
      </c>
      <c r="J47" s="7"/>
    </row>
    <row r="48" spans="1:10" ht="18" customHeight="1" x14ac:dyDescent="0.25">
      <c r="A48" s="8"/>
      <c r="B48" s="9">
        <v>39</v>
      </c>
      <c r="C48" s="6" t="str">
        <f>IFERROR(VLOOKUP(B48,[1]customers!$A:$B,2,0),"")</f>
        <v>Alpha Baking</v>
      </c>
      <c r="D48" s="9" t="s">
        <v>175</v>
      </c>
      <c r="E48" s="9" t="s">
        <v>176</v>
      </c>
      <c r="F48" s="9"/>
      <c r="G48" s="9" t="s">
        <v>177</v>
      </c>
      <c r="H48" s="9" t="s">
        <v>178</v>
      </c>
      <c r="I48" s="9"/>
      <c r="J48" s="10"/>
    </row>
    <row r="49" spans="1:10" ht="18" customHeight="1" x14ac:dyDescent="0.25">
      <c r="A49" s="4"/>
      <c r="B49" s="5">
        <v>39</v>
      </c>
      <c r="C49" s="6" t="str">
        <f>IFERROR(VLOOKUP(B49,[1]customers!$A:$B,2,0),"")</f>
        <v>Alpha Baking</v>
      </c>
      <c r="D49" s="5" t="s">
        <v>175</v>
      </c>
      <c r="E49" s="5" t="s">
        <v>179</v>
      </c>
      <c r="F49" s="5"/>
      <c r="G49" s="5" t="s">
        <v>180</v>
      </c>
      <c r="H49" s="5" t="s">
        <v>181</v>
      </c>
      <c r="I49" s="5" t="s">
        <v>182</v>
      </c>
      <c r="J49" s="7"/>
    </row>
    <row r="50" spans="1:10" ht="18" customHeight="1" x14ac:dyDescent="0.25">
      <c r="A50" s="8"/>
      <c r="B50" s="9">
        <v>40</v>
      </c>
      <c r="C50" s="6" t="str">
        <f>IFERROR(VLOOKUP(B50,[1]customers!$A:$B,2,0),"")</f>
        <v>Alpha Packaging</v>
      </c>
      <c r="D50" s="9" t="s">
        <v>183</v>
      </c>
      <c r="E50" s="9" t="s">
        <v>184</v>
      </c>
      <c r="F50" s="9"/>
      <c r="G50" s="9" t="s">
        <v>185</v>
      </c>
      <c r="H50" s="9"/>
      <c r="I50" s="9" t="s">
        <v>186</v>
      </c>
      <c r="J50" s="10"/>
    </row>
    <row r="51" spans="1:10" ht="18" customHeight="1" x14ac:dyDescent="0.25">
      <c r="A51" s="4"/>
      <c r="B51" s="5">
        <v>41</v>
      </c>
      <c r="C51" s="6" t="str">
        <f>IFERROR(VLOOKUP(B51,[1]customers!$A:$B,2,0),"")</f>
        <v>Alpha Tool &amp; Mold</v>
      </c>
      <c r="D51" s="5" t="s">
        <v>187</v>
      </c>
      <c r="E51" s="5" t="s">
        <v>188</v>
      </c>
      <c r="F51" s="5"/>
      <c r="G51" s="5" t="s">
        <v>189</v>
      </c>
      <c r="H51" s="5"/>
      <c r="I51" s="5" t="s">
        <v>190</v>
      </c>
      <c r="J51" s="7"/>
    </row>
    <row r="52" spans="1:10" ht="18" customHeight="1" x14ac:dyDescent="0.25">
      <c r="A52" s="8"/>
      <c r="B52" s="9">
        <v>41</v>
      </c>
      <c r="C52" s="6" t="str">
        <f>IFERROR(VLOOKUP(B52,[1]customers!$A:$B,2,0),"")</f>
        <v>Alpha Tool &amp; Mold</v>
      </c>
      <c r="D52" s="9" t="s">
        <v>187</v>
      </c>
      <c r="E52" s="9" t="s">
        <v>191</v>
      </c>
      <c r="F52" s="9"/>
      <c r="G52" s="9" t="s">
        <v>192</v>
      </c>
      <c r="H52" s="9"/>
      <c r="I52" s="9" t="s">
        <v>193</v>
      </c>
      <c r="J52" s="10"/>
    </row>
    <row r="53" spans="1:10" ht="18" customHeight="1" x14ac:dyDescent="0.25">
      <c r="A53" s="4"/>
      <c r="B53" s="5">
        <v>43</v>
      </c>
      <c r="C53" s="6" t="str">
        <f>IFERROR(VLOOKUP(B53,[1]customers!$A:$B,2,0),"")</f>
        <v>Alterra Energy</v>
      </c>
      <c r="D53" s="5" t="s">
        <v>194</v>
      </c>
      <c r="E53" s="5" t="s">
        <v>195</v>
      </c>
      <c r="F53" s="5"/>
      <c r="G53" s="5" t="s">
        <v>196</v>
      </c>
      <c r="H53" s="5"/>
      <c r="I53" s="5" t="s">
        <v>197</v>
      </c>
      <c r="J53" s="7"/>
    </row>
    <row r="54" spans="1:10" ht="18" customHeight="1" x14ac:dyDescent="0.25">
      <c r="A54" s="8"/>
      <c r="B54" s="9">
        <v>43</v>
      </c>
      <c r="C54" s="6" t="str">
        <f>IFERROR(VLOOKUP(B54,[1]customers!$A:$B,2,0),"")</f>
        <v>Alterra Energy</v>
      </c>
      <c r="D54" s="9" t="s">
        <v>194</v>
      </c>
      <c r="E54" s="9" t="s">
        <v>198</v>
      </c>
      <c r="F54" s="9"/>
      <c r="G54" s="9" t="s">
        <v>199</v>
      </c>
      <c r="H54" s="9"/>
      <c r="I54" s="9" t="s">
        <v>200</v>
      </c>
      <c r="J54" s="10"/>
    </row>
    <row r="55" spans="1:10" ht="18" customHeight="1" x14ac:dyDescent="0.25">
      <c r="A55" s="4"/>
      <c r="B55" s="5">
        <v>43</v>
      </c>
      <c r="C55" s="6" t="str">
        <f>IFERROR(VLOOKUP(B55,[1]customers!$A:$B,2,0),"")</f>
        <v>Alterra Energy</v>
      </c>
      <c r="D55" s="5" t="s">
        <v>194</v>
      </c>
      <c r="E55" s="5" t="s">
        <v>201</v>
      </c>
      <c r="F55" s="5"/>
      <c r="G55" s="5" t="s">
        <v>202</v>
      </c>
      <c r="H55" s="5"/>
      <c r="I55" s="5" t="s">
        <v>203</v>
      </c>
      <c r="J55" s="7"/>
    </row>
    <row r="56" spans="1:10" ht="18" customHeight="1" x14ac:dyDescent="0.25">
      <c r="A56" s="4"/>
      <c r="B56" s="5">
        <v>46</v>
      </c>
      <c r="C56" s="6" t="str">
        <f>IFERROR(VLOOKUP(B56,[1]customers!$A:$B,2,0),"")</f>
        <v>American Engineering and Metal Working</v>
      </c>
      <c r="D56" s="5" t="s">
        <v>204</v>
      </c>
      <c r="E56" s="5" t="s">
        <v>205</v>
      </c>
      <c r="F56" s="5"/>
      <c r="G56" s="5" t="s">
        <v>206</v>
      </c>
      <c r="H56" s="5" t="s">
        <v>207</v>
      </c>
      <c r="I56" s="5" t="s">
        <v>208</v>
      </c>
      <c r="J56" s="7"/>
    </row>
    <row r="57" spans="1:10" ht="18" customHeight="1" x14ac:dyDescent="0.25">
      <c r="A57" s="8"/>
      <c r="B57" s="9">
        <v>47</v>
      </c>
      <c r="C57" s="6" t="str">
        <f>IFERROR(VLOOKUP(B57,[1]customers!$A:$B,2,0),"")</f>
        <v>American Friction Technologies</v>
      </c>
      <c r="D57" s="9" t="s">
        <v>209</v>
      </c>
      <c r="E57" s="9" t="s">
        <v>210</v>
      </c>
      <c r="F57" s="9"/>
      <c r="G57" s="9" t="s">
        <v>211</v>
      </c>
      <c r="H57" s="9"/>
      <c r="I57" s="9" t="s">
        <v>212</v>
      </c>
      <c r="J57" s="10"/>
    </row>
    <row r="58" spans="1:10" ht="18" customHeight="1" x14ac:dyDescent="0.25">
      <c r="A58" s="8"/>
      <c r="B58" s="9">
        <v>49</v>
      </c>
      <c r="C58" s="6" t="str">
        <f>IFERROR(VLOOKUP(B58,[1]customers!$A:$B,2,0),"")</f>
        <v>American Molded Plastics</v>
      </c>
      <c r="D58" s="9" t="s">
        <v>213</v>
      </c>
      <c r="E58" s="9" t="s">
        <v>214</v>
      </c>
      <c r="F58" s="9"/>
      <c r="G58" s="9" t="s">
        <v>215</v>
      </c>
      <c r="H58" s="9"/>
      <c r="I58" s="9">
        <v>3303076513</v>
      </c>
      <c r="J58" s="10"/>
    </row>
    <row r="59" spans="1:10" ht="18" customHeight="1" x14ac:dyDescent="0.25">
      <c r="A59" s="8"/>
      <c r="B59" s="9">
        <v>51</v>
      </c>
      <c r="C59" s="6" t="str">
        <f>IFERROR(VLOOKUP(B59,[1]customers!$A:$B,2,0),"")</f>
        <v>Analyte Scientific</v>
      </c>
      <c r="D59" s="9" t="s">
        <v>216</v>
      </c>
      <c r="E59" s="9" t="s">
        <v>217</v>
      </c>
      <c r="F59" s="9"/>
      <c r="G59" s="9" t="s">
        <v>218</v>
      </c>
      <c r="H59" s="9"/>
      <c r="I59" s="9" t="s">
        <v>219</v>
      </c>
      <c r="J59" s="10"/>
    </row>
    <row r="60" spans="1:10" ht="18" customHeight="1" x14ac:dyDescent="0.25">
      <c r="A60" s="4"/>
      <c r="B60" s="5">
        <v>52</v>
      </c>
      <c r="C60" s="6" t="str">
        <f>IFERROR(VLOOKUP(B60,[1]customers!$A:$B,2,0),"")</f>
        <v>Andersen Corp</v>
      </c>
      <c r="D60" s="5" t="s">
        <v>220</v>
      </c>
      <c r="E60" s="5" t="s">
        <v>221</v>
      </c>
      <c r="F60" s="5"/>
      <c r="G60" s="5" t="s">
        <v>222</v>
      </c>
      <c r="H60" s="5"/>
      <c r="I60" s="5" t="s">
        <v>223</v>
      </c>
      <c r="J60" s="7"/>
    </row>
    <row r="61" spans="1:10" ht="18" customHeight="1" x14ac:dyDescent="0.25">
      <c r="A61" s="4"/>
      <c r="B61" s="5">
        <v>54</v>
      </c>
      <c r="C61" s="6" t="str">
        <f>IFERROR(VLOOKUP(B61,[1]customers!$A:$B,2,0),"")</f>
        <v>Appalachian Hardwood Lumber Co</v>
      </c>
      <c r="D61" s="5" t="s">
        <v>224</v>
      </c>
      <c r="E61" s="5" t="s">
        <v>225</v>
      </c>
      <c r="F61" s="5"/>
      <c r="G61" s="5" t="s">
        <v>226</v>
      </c>
      <c r="H61" s="5"/>
      <c r="I61" s="5" t="s">
        <v>227</v>
      </c>
      <c r="J61" s="7"/>
    </row>
    <row r="62" spans="1:10" ht="18" customHeight="1" x14ac:dyDescent="0.25">
      <c r="A62" s="8"/>
      <c r="B62" s="9">
        <v>54</v>
      </c>
      <c r="C62" s="6" t="str">
        <f>IFERROR(VLOOKUP(B62,[1]customers!$A:$B,2,0),"")</f>
        <v>Appalachian Hardwood Lumber Co</v>
      </c>
      <c r="D62" s="9" t="s">
        <v>224</v>
      </c>
      <c r="E62" s="9" t="s">
        <v>228</v>
      </c>
      <c r="F62" s="9"/>
      <c r="G62" s="9" t="s">
        <v>229</v>
      </c>
      <c r="H62" s="9"/>
      <c r="I62" s="9" t="s">
        <v>230</v>
      </c>
      <c r="J62" s="10"/>
    </row>
    <row r="63" spans="1:10" ht="18" customHeight="1" x14ac:dyDescent="0.25">
      <c r="A63" s="4"/>
      <c r="B63" s="5">
        <v>55</v>
      </c>
      <c r="C63" s="6" t="str">
        <f>IFERROR(VLOOKUP(B63,[1]customers!$A:$B,2,0),"")</f>
        <v>Applied Foundry Solutions</v>
      </c>
      <c r="D63" s="5" t="s">
        <v>231</v>
      </c>
      <c r="E63" s="5" t="s">
        <v>232</v>
      </c>
      <c r="F63" s="5"/>
      <c r="G63" s="5"/>
      <c r="H63" s="5" t="s">
        <v>233</v>
      </c>
      <c r="I63" s="5"/>
      <c r="J63" s="7"/>
    </row>
    <row r="64" spans="1:10" ht="18" customHeight="1" x14ac:dyDescent="0.25">
      <c r="A64" s="8"/>
      <c r="B64" s="9">
        <v>56</v>
      </c>
      <c r="C64" s="6" t="str">
        <f>IFERROR(VLOOKUP(B64,[1]customers!$A:$B,2,0),"")</f>
        <v>APV Engineered Coatings</v>
      </c>
      <c r="D64" s="9" t="s">
        <v>234</v>
      </c>
      <c r="E64" s="9" t="s">
        <v>235</v>
      </c>
      <c r="F64" s="9"/>
      <c r="G64" s="9" t="s">
        <v>236</v>
      </c>
      <c r="H64" s="9" t="s">
        <v>237</v>
      </c>
      <c r="I64" s="9" t="s">
        <v>238</v>
      </c>
      <c r="J64" s="10"/>
    </row>
    <row r="65" spans="1:10" ht="18" customHeight="1" x14ac:dyDescent="0.25">
      <c r="A65" s="4"/>
      <c r="B65" s="5">
        <v>56</v>
      </c>
      <c r="C65" s="6" t="str">
        <f>IFERROR(VLOOKUP(B65,[1]customers!$A:$B,2,0),"")</f>
        <v>APV Engineered Coatings</v>
      </c>
      <c r="D65" s="5" t="s">
        <v>234</v>
      </c>
      <c r="E65" s="5" t="s">
        <v>239</v>
      </c>
      <c r="F65" s="5"/>
      <c r="G65" s="5" t="s">
        <v>236</v>
      </c>
      <c r="H65" s="5"/>
      <c r="I65" s="5" t="s">
        <v>237</v>
      </c>
      <c r="J65" s="7"/>
    </row>
    <row r="66" spans="1:10" ht="18" customHeight="1" x14ac:dyDescent="0.25">
      <c r="A66" s="8"/>
      <c r="B66" s="9">
        <v>56</v>
      </c>
      <c r="C66" s="6" t="str">
        <f>IFERROR(VLOOKUP(B66,[1]customers!$A:$B,2,0),"")</f>
        <v>APV Engineered Coatings</v>
      </c>
      <c r="D66" s="9" t="s">
        <v>234</v>
      </c>
      <c r="E66" s="9" t="s">
        <v>240</v>
      </c>
      <c r="F66" s="9"/>
      <c r="G66" s="9" t="s">
        <v>241</v>
      </c>
      <c r="H66" s="9"/>
      <c r="I66" s="9" t="s">
        <v>238</v>
      </c>
      <c r="J66" s="10"/>
    </row>
    <row r="67" spans="1:10" ht="18" customHeight="1" x14ac:dyDescent="0.25">
      <c r="A67" s="4"/>
      <c r="B67" s="5">
        <v>58</v>
      </c>
      <c r="C67" s="6" t="str">
        <f>IFERROR(VLOOKUP(B67,[1]customers!$A:$B,2,0),"")</f>
        <v>Arc-Heat LLC</v>
      </c>
      <c r="D67" s="5" t="s">
        <v>242</v>
      </c>
      <c r="E67" s="5" t="s">
        <v>243</v>
      </c>
      <c r="F67" s="5"/>
      <c r="G67" s="5" t="s">
        <v>244</v>
      </c>
      <c r="H67" s="5"/>
      <c r="I67" s="5" t="s">
        <v>245</v>
      </c>
      <c r="J67" s="7"/>
    </row>
    <row r="68" spans="1:10" ht="18" customHeight="1" x14ac:dyDescent="0.25">
      <c r="A68" s="8"/>
      <c r="B68" s="9">
        <v>60</v>
      </c>
      <c r="C68" s="6" t="str">
        <f>IFERROR(VLOOKUP(B68,[1]customers!$A:$B,2,0),"")</f>
        <v>Ariel Corporation</v>
      </c>
      <c r="D68" s="9" t="s">
        <v>246</v>
      </c>
      <c r="E68" s="9" t="s">
        <v>247</v>
      </c>
      <c r="F68" s="9"/>
      <c r="G68" s="9" t="s">
        <v>248</v>
      </c>
      <c r="H68" s="9"/>
      <c r="I68" s="9" t="s">
        <v>249</v>
      </c>
      <c r="J68" s="10"/>
    </row>
    <row r="69" spans="1:10" ht="18" customHeight="1" x14ac:dyDescent="0.25">
      <c r="A69" s="4"/>
      <c r="B69" s="5">
        <v>60</v>
      </c>
      <c r="C69" s="6" t="str">
        <f>IFERROR(VLOOKUP(B69,[1]customers!$A:$B,2,0),"")</f>
        <v>Ariel Corporation</v>
      </c>
      <c r="D69" s="5" t="s">
        <v>246</v>
      </c>
      <c r="E69" s="5" t="s">
        <v>250</v>
      </c>
      <c r="F69" s="5"/>
      <c r="G69" s="5" t="s">
        <v>251</v>
      </c>
      <c r="H69" s="5" t="s">
        <v>252</v>
      </c>
      <c r="I69" s="5" t="s">
        <v>253</v>
      </c>
      <c r="J69" s="7"/>
    </row>
    <row r="70" spans="1:10" ht="18" customHeight="1" x14ac:dyDescent="0.25">
      <c r="A70" s="8"/>
      <c r="B70" s="9">
        <v>60</v>
      </c>
      <c r="C70" s="6" t="str">
        <f>IFERROR(VLOOKUP(B70,[1]customers!$A:$B,2,0),"")</f>
        <v>Ariel Corporation</v>
      </c>
      <c r="D70" s="9" t="s">
        <v>246</v>
      </c>
      <c r="E70" s="9" t="s">
        <v>254</v>
      </c>
      <c r="F70" s="9"/>
      <c r="G70" s="9" t="s">
        <v>255</v>
      </c>
      <c r="H70" s="9"/>
      <c r="I70" s="9" t="s">
        <v>256</v>
      </c>
      <c r="J70" s="10"/>
    </row>
    <row r="71" spans="1:10" ht="18" customHeight="1" x14ac:dyDescent="0.25">
      <c r="A71" s="4"/>
      <c r="B71" s="5">
        <v>60</v>
      </c>
      <c r="C71" s="6" t="str">
        <f>IFERROR(VLOOKUP(B71,[1]customers!$A:$B,2,0),"")</f>
        <v>Ariel Corporation</v>
      </c>
      <c r="D71" s="5" t="s">
        <v>246</v>
      </c>
      <c r="E71" s="5" t="s">
        <v>257</v>
      </c>
      <c r="F71" s="5"/>
      <c r="G71" s="5"/>
      <c r="H71" s="5" t="s">
        <v>258</v>
      </c>
      <c r="I71" s="5"/>
      <c r="J71" s="7"/>
    </row>
    <row r="72" spans="1:10" ht="18" customHeight="1" x14ac:dyDescent="0.25">
      <c r="A72" s="4"/>
      <c r="B72" s="5">
        <v>61</v>
      </c>
      <c r="C72" s="6" t="str">
        <f>IFERROR(VLOOKUP(B72,[1]customers!$A:$B,2,0),"")</f>
        <v>Arlington Machinery</v>
      </c>
      <c r="D72" s="5" t="s">
        <v>259</v>
      </c>
      <c r="E72" s="5" t="s">
        <v>260</v>
      </c>
      <c r="F72" s="5"/>
      <c r="G72" s="5" t="s">
        <v>261</v>
      </c>
      <c r="H72" s="5"/>
      <c r="I72" s="5" t="s">
        <v>262</v>
      </c>
      <c r="J72" s="7"/>
    </row>
    <row r="73" spans="1:10" ht="18" customHeight="1" x14ac:dyDescent="0.25">
      <c r="A73" s="8"/>
      <c r="B73" s="9">
        <v>61</v>
      </c>
      <c r="C73" s="6" t="str">
        <f>IFERROR(VLOOKUP(B73,[1]customers!$A:$B,2,0),"")</f>
        <v>Arlington Machinery</v>
      </c>
      <c r="D73" s="9" t="s">
        <v>259</v>
      </c>
      <c r="E73" s="9" t="s">
        <v>260</v>
      </c>
      <c r="F73" s="9"/>
      <c r="G73" s="9" t="s">
        <v>261</v>
      </c>
      <c r="H73" s="9"/>
      <c r="I73" s="9" t="s">
        <v>263</v>
      </c>
      <c r="J73" s="10"/>
    </row>
    <row r="74" spans="1:10" ht="18" customHeight="1" x14ac:dyDescent="0.25">
      <c r="A74" s="4"/>
      <c r="B74" s="5">
        <v>61</v>
      </c>
      <c r="C74" s="6" t="str">
        <f>IFERROR(VLOOKUP(B74,[1]customers!$A:$B,2,0),"")</f>
        <v>Arlington Machinery</v>
      </c>
      <c r="D74" s="5" t="s">
        <v>259</v>
      </c>
      <c r="E74" s="5" t="s">
        <v>260</v>
      </c>
      <c r="F74" s="5"/>
      <c r="G74" s="5" t="s">
        <v>261</v>
      </c>
      <c r="H74" s="5"/>
      <c r="I74" s="5" t="s">
        <v>264</v>
      </c>
      <c r="J74" s="7"/>
    </row>
    <row r="75" spans="1:10" ht="18" customHeight="1" x14ac:dyDescent="0.25">
      <c r="A75" s="8"/>
      <c r="B75" s="9">
        <v>61</v>
      </c>
      <c r="C75" s="6" t="str">
        <f>IFERROR(VLOOKUP(B75,[1]customers!$A:$B,2,0),"")</f>
        <v>Arlington Machinery</v>
      </c>
      <c r="D75" s="9" t="s">
        <v>259</v>
      </c>
      <c r="E75" s="9" t="s">
        <v>260</v>
      </c>
      <c r="F75" s="9"/>
      <c r="G75" s="9" t="s">
        <v>261</v>
      </c>
      <c r="H75" s="9"/>
      <c r="I75" s="9" t="s">
        <v>265</v>
      </c>
      <c r="J75" s="10"/>
    </row>
    <row r="76" spans="1:10" ht="18" customHeight="1" x14ac:dyDescent="0.25">
      <c r="A76" s="4"/>
      <c r="B76" s="5">
        <v>61</v>
      </c>
      <c r="C76" s="6" t="str">
        <f>IFERROR(VLOOKUP(B76,[1]customers!$A:$B,2,0),"")</f>
        <v>Arlington Machinery</v>
      </c>
      <c r="D76" s="5" t="s">
        <v>259</v>
      </c>
      <c r="E76" s="5" t="s">
        <v>266</v>
      </c>
      <c r="F76" s="5"/>
      <c r="G76" s="5" t="s">
        <v>267</v>
      </c>
      <c r="H76" s="5"/>
      <c r="I76" s="5" t="s">
        <v>268</v>
      </c>
      <c r="J76" s="7"/>
    </row>
    <row r="77" spans="1:10" ht="18" customHeight="1" x14ac:dyDescent="0.25">
      <c r="A77" s="8"/>
      <c r="B77" s="9">
        <v>63</v>
      </c>
      <c r="C77" s="6" t="str">
        <f>IFERROR(VLOOKUP(B77,[1]customers!$A:$B,2,0),"")</f>
        <v>Arnco Pathway</v>
      </c>
      <c r="D77" s="9" t="s">
        <v>269</v>
      </c>
      <c r="E77" s="9" t="s">
        <v>270</v>
      </c>
      <c r="F77" s="9"/>
      <c r="G77" s="9" t="s">
        <v>271</v>
      </c>
      <c r="H77" s="9"/>
      <c r="I77" s="9" t="s">
        <v>272</v>
      </c>
      <c r="J77" s="10"/>
    </row>
    <row r="78" spans="1:10" ht="18" customHeight="1" x14ac:dyDescent="0.25">
      <c r="A78" s="4"/>
      <c r="B78" s="5">
        <v>64</v>
      </c>
      <c r="C78" s="6" t="str">
        <f>IFERROR(VLOOKUP(B78,[1]customers!$A:$B,2,0),"")</f>
        <v>Arrow Tool and Gage Co Inc</v>
      </c>
      <c r="D78" s="5" t="s">
        <v>273</v>
      </c>
      <c r="E78" s="5" t="s">
        <v>274</v>
      </c>
      <c r="F78" s="5"/>
      <c r="G78" s="5" t="s">
        <v>275</v>
      </c>
      <c r="H78" s="5"/>
      <c r="I78" s="5" t="s">
        <v>276</v>
      </c>
      <c r="J78" s="7"/>
    </row>
    <row r="79" spans="1:10" ht="18" customHeight="1" x14ac:dyDescent="0.25">
      <c r="A79" s="8"/>
      <c r="B79" s="9">
        <v>65</v>
      </c>
      <c r="C79" s="6" t="str">
        <f>IFERROR(VLOOKUP(B79,[1]customers!$A:$B,2,0),"")</f>
        <v>ASC Industries Inc.</v>
      </c>
      <c r="D79" s="9" t="s">
        <v>277</v>
      </c>
      <c r="E79" s="9" t="s">
        <v>278</v>
      </c>
      <c r="F79" s="9"/>
      <c r="G79" s="9" t="s">
        <v>279</v>
      </c>
      <c r="H79" s="9"/>
      <c r="I79" s="9" t="s">
        <v>280</v>
      </c>
      <c r="J79" s="10"/>
    </row>
    <row r="80" spans="1:10" ht="18" customHeight="1" x14ac:dyDescent="0.25">
      <c r="A80" s="4"/>
      <c r="B80" s="5">
        <v>67</v>
      </c>
      <c r="C80" s="6" t="str">
        <f>IFERROR(VLOOKUP(B80,[1]customers!$A:$B,2,0),"")</f>
        <v>ATA Tools</v>
      </c>
      <c r="D80" s="5" t="s">
        <v>281</v>
      </c>
      <c r="E80" s="5" t="s">
        <v>282</v>
      </c>
      <c r="F80" s="5"/>
      <c r="G80" s="5"/>
      <c r="H80" s="5"/>
      <c r="I80" s="5" t="s">
        <v>283</v>
      </c>
      <c r="J80" s="7"/>
    </row>
    <row r="81" spans="1:10" ht="18" customHeight="1" x14ac:dyDescent="0.25">
      <c r="A81" s="8"/>
      <c r="B81" s="9">
        <v>69</v>
      </c>
      <c r="C81" s="6" t="str">
        <f>IFERROR(VLOOKUP(B81,[1]customers!$A:$B,2,0),"")</f>
        <v>Atlas Crane</v>
      </c>
      <c r="D81" s="9" t="s">
        <v>284</v>
      </c>
      <c r="E81" s="9" t="s">
        <v>285</v>
      </c>
      <c r="F81" s="9"/>
      <c r="G81" s="9" t="s">
        <v>286</v>
      </c>
      <c r="H81" s="9" t="s">
        <v>287</v>
      </c>
      <c r="I81" s="9"/>
      <c r="J81" s="10"/>
    </row>
    <row r="82" spans="1:10" ht="18" customHeight="1" x14ac:dyDescent="0.25">
      <c r="A82" s="4"/>
      <c r="B82" s="5">
        <v>70</v>
      </c>
      <c r="C82" s="6" t="str">
        <f>IFERROR(VLOOKUP(B82,[1]customers!$A:$B,2,0),"")</f>
        <v>Aurora Plastics, Inc</v>
      </c>
      <c r="D82" s="5" t="s">
        <v>288</v>
      </c>
      <c r="E82" s="5" t="s">
        <v>289</v>
      </c>
      <c r="F82" s="5"/>
      <c r="G82" s="5" t="s">
        <v>290</v>
      </c>
      <c r="H82" s="5"/>
      <c r="I82" s="5" t="s">
        <v>291</v>
      </c>
      <c r="J82" s="7"/>
    </row>
    <row r="83" spans="1:10" ht="18" customHeight="1" x14ac:dyDescent="0.25">
      <c r="A83" s="8"/>
      <c r="B83" s="9">
        <v>70</v>
      </c>
      <c r="C83" s="6" t="str">
        <f>IFERROR(VLOOKUP(B83,[1]customers!$A:$B,2,0),"")</f>
        <v>Aurora Plastics, Inc</v>
      </c>
      <c r="D83" s="9" t="s">
        <v>292</v>
      </c>
      <c r="E83" s="9" t="s">
        <v>293</v>
      </c>
      <c r="F83" s="9"/>
      <c r="G83" s="9"/>
      <c r="H83" s="9"/>
      <c r="I83" s="9" t="s">
        <v>294</v>
      </c>
      <c r="J83" s="10"/>
    </row>
    <row r="84" spans="1:10" ht="18" customHeight="1" x14ac:dyDescent="0.25">
      <c r="A84" s="4"/>
      <c r="B84" s="5">
        <v>72</v>
      </c>
      <c r="C84" s="6" t="str">
        <f>IFERROR(VLOOKUP(B84,[1]customers!$A:$B,2,0),"")</f>
        <v>Automated Packaging</v>
      </c>
      <c r="D84" s="5" t="s">
        <v>295</v>
      </c>
      <c r="E84" s="5" t="s">
        <v>296</v>
      </c>
      <c r="F84" s="5"/>
      <c r="G84" s="5" t="s">
        <v>297</v>
      </c>
      <c r="H84" s="5"/>
      <c r="I84" s="5" t="s">
        <v>298</v>
      </c>
      <c r="J84" s="7"/>
    </row>
    <row r="85" spans="1:10" ht="18" customHeight="1" x14ac:dyDescent="0.25">
      <c r="A85" s="8"/>
      <c r="B85" s="9">
        <v>72</v>
      </c>
      <c r="C85" s="6" t="str">
        <f>IFERROR(VLOOKUP(B85,[1]customers!$A:$B,2,0),"")</f>
        <v>Automated Packaging</v>
      </c>
      <c r="D85" s="9" t="s">
        <v>295</v>
      </c>
      <c r="E85" s="9" t="s">
        <v>299</v>
      </c>
      <c r="F85" s="9"/>
      <c r="G85" s="9" t="s">
        <v>300</v>
      </c>
      <c r="H85" s="9"/>
      <c r="I85" s="9"/>
      <c r="J85" s="10"/>
    </row>
    <row r="86" spans="1:10" ht="18" customHeight="1" x14ac:dyDescent="0.25">
      <c r="A86" s="4"/>
      <c r="B86" s="5">
        <v>72</v>
      </c>
      <c r="C86" s="6" t="str">
        <f>IFERROR(VLOOKUP(B86,[1]customers!$A:$B,2,0),"")</f>
        <v>Automated Packaging</v>
      </c>
      <c r="D86" s="5" t="s">
        <v>295</v>
      </c>
      <c r="E86" s="5" t="s">
        <v>301</v>
      </c>
      <c r="F86" s="5"/>
      <c r="G86" s="5" t="s">
        <v>302</v>
      </c>
      <c r="H86" s="5"/>
      <c r="I86" s="5" t="s">
        <v>303</v>
      </c>
      <c r="J86" s="7"/>
    </row>
    <row r="87" spans="1:10" ht="18" customHeight="1" x14ac:dyDescent="0.25">
      <c r="A87" s="8"/>
      <c r="B87" s="9">
        <v>72</v>
      </c>
      <c r="C87" s="6" t="str">
        <f>IFERROR(VLOOKUP(B87,[1]customers!$A:$B,2,0),"")</f>
        <v>Automated Packaging</v>
      </c>
      <c r="D87" s="9" t="s">
        <v>295</v>
      </c>
      <c r="E87" s="9" t="s">
        <v>304</v>
      </c>
      <c r="F87" s="9"/>
      <c r="G87" s="9" t="s">
        <v>305</v>
      </c>
      <c r="H87" s="9" t="s">
        <v>306</v>
      </c>
      <c r="I87" s="9" t="s">
        <v>307</v>
      </c>
      <c r="J87" s="10"/>
    </row>
    <row r="88" spans="1:10" ht="18" customHeight="1" x14ac:dyDescent="0.25">
      <c r="A88" s="4"/>
      <c r="B88" s="5">
        <v>72</v>
      </c>
      <c r="C88" s="6" t="str">
        <f>IFERROR(VLOOKUP(B88,[1]customers!$A:$B,2,0),"")</f>
        <v>Automated Packaging</v>
      </c>
      <c r="D88" s="5" t="s">
        <v>295</v>
      </c>
      <c r="E88" s="5" t="s">
        <v>308</v>
      </c>
      <c r="F88" s="5"/>
      <c r="G88" s="5" t="s">
        <v>309</v>
      </c>
      <c r="H88" s="5"/>
      <c r="I88" s="5" t="s">
        <v>310</v>
      </c>
      <c r="J88" s="7"/>
    </row>
    <row r="89" spans="1:10" ht="18" customHeight="1" x14ac:dyDescent="0.25">
      <c r="A89" s="8"/>
      <c r="B89" s="9">
        <v>72</v>
      </c>
      <c r="C89" s="6" t="str">
        <f>IFERROR(VLOOKUP(B89,[1]customers!$A:$B,2,0),"")</f>
        <v>Automated Packaging</v>
      </c>
      <c r="D89" s="9" t="s">
        <v>295</v>
      </c>
      <c r="E89" s="9" t="s">
        <v>308</v>
      </c>
      <c r="F89" s="9"/>
      <c r="G89" s="9" t="s">
        <v>309</v>
      </c>
      <c r="H89" s="9"/>
      <c r="I89" s="9" t="s">
        <v>310</v>
      </c>
      <c r="J89" s="10"/>
    </row>
    <row r="90" spans="1:10" ht="18" customHeight="1" x14ac:dyDescent="0.25">
      <c r="A90" s="4"/>
      <c r="B90" s="5">
        <v>72</v>
      </c>
      <c r="C90" s="6" t="str">
        <f>IFERROR(VLOOKUP(B90,[1]customers!$A:$B,2,0),"")</f>
        <v>Automated Packaging</v>
      </c>
      <c r="D90" s="5" t="s">
        <v>295</v>
      </c>
      <c r="E90" s="5" t="s">
        <v>311</v>
      </c>
      <c r="F90" s="5"/>
      <c r="G90" s="5" t="s">
        <v>312</v>
      </c>
      <c r="H90" s="5"/>
      <c r="I90" s="5"/>
      <c r="J90" s="7"/>
    </row>
    <row r="91" spans="1:10" ht="18" customHeight="1" x14ac:dyDescent="0.25">
      <c r="A91" s="8"/>
      <c r="B91" s="9">
        <v>72</v>
      </c>
      <c r="C91" s="6" t="str">
        <f>IFERROR(VLOOKUP(B91,[1]customers!$A:$B,2,0),"")</f>
        <v>Automated Packaging</v>
      </c>
      <c r="D91" s="9" t="s">
        <v>295</v>
      </c>
      <c r="E91" s="9" t="s">
        <v>313</v>
      </c>
      <c r="F91" s="9"/>
      <c r="G91" s="9" t="s">
        <v>314</v>
      </c>
      <c r="H91" s="9"/>
      <c r="I91" s="9" t="s">
        <v>315</v>
      </c>
      <c r="J91" s="10"/>
    </row>
    <row r="92" spans="1:10" ht="18" customHeight="1" x14ac:dyDescent="0.25">
      <c r="A92" s="4"/>
      <c r="B92" s="5">
        <v>74</v>
      </c>
      <c r="C92" s="6" t="str">
        <f>IFERROR(VLOOKUP(B92,[1]customers!$A:$B,2,0),"")</f>
        <v>Avon Lake Sheet Metal Co</v>
      </c>
      <c r="D92" s="5" t="s">
        <v>316</v>
      </c>
      <c r="E92" s="5" t="s">
        <v>317</v>
      </c>
      <c r="F92" s="5"/>
      <c r="G92" s="5"/>
      <c r="H92" s="5" t="s">
        <v>318</v>
      </c>
      <c r="I92" s="5"/>
      <c r="J92" s="7"/>
    </row>
    <row r="93" spans="1:10" ht="18" customHeight="1" x14ac:dyDescent="0.25">
      <c r="A93" s="8"/>
      <c r="B93" s="9">
        <v>77</v>
      </c>
      <c r="C93" s="6" t="str">
        <f>IFERROR(VLOOKUP(B93,[1]customers!$A:$B,2,0),"")</f>
        <v>B.M. Rebuilders Inc.</v>
      </c>
      <c r="D93" s="9" t="s">
        <v>319</v>
      </c>
      <c r="E93" s="9" t="s">
        <v>320</v>
      </c>
      <c r="F93" s="9"/>
      <c r="G93" s="9" t="s">
        <v>321</v>
      </c>
      <c r="H93" s="9"/>
      <c r="I93" s="9">
        <v>4403650790</v>
      </c>
      <c r="J93" s="10"/>
    </row>
    <row r="94" spans="1:10" ht="18" customHeight="1" x14ac:dyDescent="0.25">
      <c r="A94" s="4"/>
      <c r="B94" s="5">
        <v>79</v>
      </c>
      <c r="C94" s="6" t="str">
        <f>IFERROR(VLOOKUP(B94,[1]customers!$A:$B,2,0),"")</f>
        <v>Bakers Parts, Inc.</v>
      </c>
      <c r="D94" s="5" t="s">
        <v>322</v>
      </c>
      <c r="E94" s="5" t="s">
        <v>323</v>
      </c>
      <c r="F94" s="5"/>
      <c r="G94" s="5" t="s">
        <v>324</v>
      </c>
      <c r="H94" s="5" t="s">
        <v>325</v>
      </c>
      <c r="I94" s="5" t="s">
        <v>326</v>
      </c>
      <c r="J94" s="7"/>
    </row>
    <row r="95" spans="1:10" ht="18" customHeight="1" x14ac:dyDescent="0.25">
      <c r="A95" s="8"/>
      <c r="B95" s="9">
        <v>80</v>
      </c>
      <c r="C95" s="6" t="str">
        <f>IFERROR(VLOOKUP(B95,[1]customers!$A:$B,2,0),"")</f>
        <v>Bakeryequipment.com</v>
      </c>
      <c r="D95" s="9" t="s">
        <v>327</v>
      </c>
      <c r="E95" s="9" t="s">
        <v>328</v>
      </c>
      <c r="F95" s="9"/>
      <c r="G95" s="9" t="s">
        <v>329</v>
      </c>
      <c r="H95" s="9" t="s">
        <v>330</v>
      </c>
      <c r="I95" s="9" t="s">
        <v>331</v>
      </c>
      <c r="J95" s="10"/>
    </row>
    <row r="96" spans="1:10" ht="18" customHeight="1" x14ac:dyDescent="0.25">
      <c r="A96" s="4"/>
      <c r="B96" s="5">
        <v>81</v>
      </c>
      <c r="C96" s="6" t="str">
        <f>IFERROR(VLOOKUP(B96,[1]customers!$A:$B,2,0),"")</f>
        <v>Baking Enterprises</v>
      </c>
      <c r="D96" s="5" t="s">
        <v>332</v>
      </c>
      <c r="E96" s="5" t="s">
        <v>333</v>
      </c>
      <c r="F96" s="5"/>
      <c r="G96" s="5" t="s">
        <v>334</v>
      </c>
      <c r="H96" s="5" t="s">
        <v>335</v>
      </c>
      <c r="I96" s="5" t="s">
        <v>336</v>
      </c>
      <c r="J96" s="7"/>
    </row>
    <row r="97" spans="1:10" ht="18" customHeight="1" x14ac:dyDescent="0.25">
      <c r="A97" s="8"/>
      <c r="B97" s="9">
        <v>82</v>
      </c>
      <c r="C97" s="6" t="str">
        <f>IFERROR(VLOOKUP(B97,[1]customers!$A:$B,2,0),"")</f>
        <v>Bayloff Stamped Products</v>
      </c>
      <c r="D97" s="9" t="s">
        <v>337</v>
      </c>
      <c r="E97" s="9" t="s">
        <v>338</v>
      </c>
      <c r="F97" s="9"/>
      <c r="G97" s="9" t="s">
        <v>339</v>
      </c>
      <c r="H97" s="9"/>
      <c r="I97" s="9" t="s">
        <v>340</v>
      </c>
      <c r="J97" s="10"/>
    </row>
    <row r="98" spans="1:10" ht="18" customHeight="1" x14ac:dyDescent="0.25">
      <c r="A98" s="4"/>
      <c r="B98" s="5">
        <v>83</v>
      </c>
      <c r="C98" s="6" t="str">
        <f>IFERROR(VLOOKUP(B98,[1]customers!$A:$B,2,0),"")</f>
        <v>BB Blast Equipment Sales</v>
      </c>
      <c r="D98" s="5" t="s">
        <v>341</v>
      </c>
      <c r="E98" s="5" t="s">
        <v>342</v>
      </c>
      <c r="F98" s="5"/>
      <c r="G98" s="5" t="s">
        <v>343</v>
      </c>
      <c r="H98" s="5"/>
      <c r="I98" s="5" t="s">
        <v>344</v>
      </c>
      <c r="J98" s="7"/>
    </row>
    <row r="99" spans="1:10" ht="18" customHeight="1" x14ac:dyDescent="0.25">
      <c r="A99" s="8"/>
      <c r="B99" s="9">
        <v>84</v>
      </c>
      <c r="C99" s="6" t="str">
        <f>IFERROR(VLOOKUP(B99,[1]customers!$A:$B,2,0),"")</f>
        <v>BBC Fasteners, Inc</v>
      </c>
      <c r="D99" s="9" t="s">
        <v>345</v>
      </c>
      <c r="E99" s="9" t="s">
        <v>346</v>
      </c>
      <c r="F99" s="9"/>
      <c r="G99" s="9" t="s">
        <v>347</v>
      </c>
      <c r="H99" s="9"/>
      <c r="I99" s="9" t="s">
        <v>348</v>
      </c>
      <c r="J99" s="10"/>
    </row>
    <row r="100" spans="1:10" ht="18" customHeight="1" x14ac:dyDescent="0.25">
      <c r="A100" s="4"/>
      <c r="B100" s="5">
        <v>86</v>
      </c>
      <c r="C100" s="6" t="str">
        <f>IFERROR(VLOOKUP(B100,[1]customers!$A:$B,2,0),"")</f>
        <v>Bearing Engineered Solutions</v>
      </c>
      <c r="D100" s="5" t="s">
        <v>349</v>
      </c>
      <c r="E100" s="5" t="s">
        <v>350</v>
      </c>
      <c r="F100" s="5"/>
      <c r="G100" s="5"/>
      <c r="H100" s="5"/>
      <c r="I100" s="5" t="s">
        <v>351</v>
      </c>
      <c r="J100" s="7"/>
    </row>
    <row r="101" spans="1:10" ht="18" customHeight="1" x14ac:dyDescent="0.25">
      <c r="A101" s="8"/>
      <c r="B101" s="9">
        <v>87</v>
      </c>
      <c r="C101" s="6" t="str">
        <f>IFERROR(VLOOKUP(B101,[1]customers!$A:$B,2,0),"")</f>
        <v>Becker Pumps Corp</v>
      </c>
      <c r="D101" s="9" t="s">
        <v>352</v>
      </c>
      <c r="E101" s="9" t="s">
        <v>353</v>
      </c>
      <c r="F101" s="9"/>
      <c r="G101" s="9" t="s">
        <v>354</v>
      </c>
      <c r="H101" s="9"/>
      <c r="I101" s="9" t="s">
        <v>355</v>
      </c>
      <c r="J101" s="10"/>
    </row>
    <row r="102" spans="1:10" ht="18" customHeight="1" x14ac:dyDescent="0.25">
      <c r="A102" s="4"/>
      <c r="B102" s="5">
        <v>88</v>
      </c>
      <c r="C102" s="6" t="str">
        <f>IFERROR(VLOOKUP(B102,[1]customers!$A:$B,2,0),"")</f>
        <v>Beckett Air, Inc</v>
      </c>
      <c r="D102" s="5" t="s">
        <v>356</v>
      </c>
      <c r="E102" s="5" t="s">
        <v>357</v>
      </c>
      <c r="F102" s="5"/>
      <c r="G102" s="5" t="s">
        <v>358</v>
      </c>
      <c r="H102" s="5"/>
      <c r="I102" s="5" t="s">
        <v>359</v>
      </c>
      <c r="J102" s="7"/>
    </row>
    <row r="103" spans="1:10" ht="18" customHeight="1" x14ac:dyDescent="0.25">
      <c r="A103" s="8"/>
      <c r="B103" s="9">
        <v>89</v>
      </c>
      <c r="C103" s="6" t="str">
        <f>IFERROR(VLOOKUP(B103,[1]customers!$A:$B,2,0),"")</f>
        <v>Bemis North America</v>
      </c>
      <c r="D103" s="9" t="s">
        <v>360</v>
      </c>
      <c r="E103" s="9" t="s">
        <v>361</v>
      </c>
      <c r="F103" s="9"/>
      <c r="G103" s="9" t="s">
        <v>362</v>
      </c>
      <c r="H103" s="9" t="s">
        <v>363</v>
      </c>
      <c r="I103" s="9"/>
      <c r="J103" s="10"/>
    </row>
    <row r="104" spans="1:10" ht="18" customHeight="1" x14ac:dyDescent="0.25">
      <c r="A104" s="4"/>
      <c r="B104" s="5">
        <v>90</v>
      </c>
      <c r="C104" s="6" t="str">
        <f>IFERROR(VLOOKUP(B104,[1]customers!$A:$B,2,0),"")</f>
        <v>Benchmark Craftsmen Inc</v>
      </c>
      <c r="D104" s="5" t="s">
        <v>364</v>
      </c>
      <c r="E104" s="5" t="s">
        <v>365</v>
      </c>
      <c r="F104" s="5"/>
      <c r="G104" s="5"/>
      <c r="H104" s="5"/>
      <c r="I104" s="5">
        <v>3309581802</v>
      </c>
      <c r="J104" s="7"/>
    </row>
    <row r="105" spans="1:10" ht="18" customHeight="1" x14ac:dyDescent="0.25">
      <c r="A105" s="4"/>
      <c r="B105" s="5">
        <v>92</v>
      </c>
      <c r="C105" s="6" t="str">
        <f>IFERROR(VLOOKUP(B105,[1]customers!$A:$B,2,0),"")</f>
        <v>Beverage Industries</v>
      </c>
      <c r="D105" s="5" t="s">
        <v>366</v>
      </c>
      <c r="E105" s="5" t="s">
        <v>367</v>
      </c>
      <c r="F105" s="5"/>
      <c r="G105" s="5" t="s">
        <v>368</v>
      </c>
      <c r="H105" s="5"/>
      <c r="I105" s="5" t="s">
        <v>369</v>
      </c>
      <c r="J105" s="7"/>
    </row>
    <row r="106" spans="1:10" ht="18" customHeight="1" x14ac:dyDescent="0.25">
      <c r="A106" s="8"/>
      <c r="B106" s="9">
        <v>92</v>
      </c>
      <c r="C106" s="6" t="str">
        <f>IFERROR(VLOOKUP(B106,[1]customers!$A:$B,2,0),"")</f>
        <v>Beverage Industries</v>
      </c>
      <c r="D106" s="9" t="s">
        <v>366</v>
      </c>
      <c r="E106" s="9" t="s">
        <v>370</v>
      </c>
      <c r="F106" s="9"/>
      <c r="G106" s="9"/>
      <c r="H106" s="9"/>
      <c r="I106" s="9" t="s">
        <v>371</v>
      </c>
      <c r="J106" s="10"/>
    </row>
    <row r="107" spans="1:10" ht="18" customHeight="1" x14ac:dyDescent="0.25">
      <c r="A107" s="4"/>
      <c r="B107" s="5">
        <v>93</v>
      </c>
      <c r="C107" s="6" t="str">
        <f>IFERROR(VLOOKUP(B107,[1]customers!$A:$B,2,0),"")</f>
        <v>Bi-Con Services</v>
      </c>
      <c r="D107" s="5" t="s">
        <v>372</v>
      </c>
      <c r="E107" s="5" t="s">
        <v>373</v>
      </c>
      <c r="F107" s="5"/>
      <c r="G107" s="5" t="s">
        <v>374</v>
      </c>
      <c r="H107" s="5" t="s">
        <v>375</v>
      </c>
      <c r="I107" s="5"/>
      <c r="J107" s="7"/>
    </row>
    <row r="108" spans="1:10" ht="18" customHeight="1" x14ac:dyDescent="0.25">
      <c r="A108" s="8"/>
      <c r="B108" s="9">
        <v>94</v>
      </c>
      <c r="C108" s="6" t="str">
        <f>IFERROR(VLOOKUP(B108,[1]customers!$A:$B,2,0),"")</f>
        <v>Big Productions Inc</v>
      </c>
      <c r="D108" s="9" t="s">
        <v>376</v>
      </c>
      <c r="E108" s="9" t="s">
        <v>377</v>
      </c>
      <c r="F108" s="9"/>
      <c r="G108" s="9" t="s">
        <v>378</v>
      </c>
      <c r="H108" s="9" t="s">
        <v>379</v>
      </c>
      <c r="I108" s="9"/>
      <c r="J108" s="10"/>
    </row>
    <row r="109" spans="1:10" ht="18" customHeight="1" x14ac:dyDescent="0.25">
      <c r="A109" s="8"/>
      <c r="B109" s="9">
        <v>95</v>
      </c>
      <c r="C109" s="6" t="str">
        <f>IFERROR(VLOOKUP(B109,[1]customers!$A:$B,2,0),"")</f>
        <v>Blades Machinery Co. Inc.</v>
      </c>
      <c r="D109" s="9" t="s">
        <v>380</v>
      </c>
      <c r="E109" s="9" t="s">
        <v>381</v>
      </c>
      <c r="F109" s="9"/>
      <c r="G109" s="9" t="s">
        <v>382</v>
      </c>
      <c r="H109" s="9"/>
      <c r="I109" s="9" t="s">
        <v>383</v>
      </c>
      <c r="J109" s="10"/>
    </row>
    <row r="110" spans="1:10" ht="18" customHeight="1" x14ac:dyDescent="0.25">
      <c r="A110" s="4"/>
      <c r="B110" s="5">
        <v>77</v>
      </c>
      <c r="C110" s="6" t="str">
        <f>IFERROR(VLOOKUP(B110,[1]customers!$A:$B,2,0),"")</f>
        <v>B.M. Rebuilders Inc.</v>
      </c>
      <c r="D110" s="5" t="s">
        <v>384</v>
      </c>
      <c r="E110" s="5" t="s">
        <v>385</v>
      </c>
      <c r="F110" s="5"/>
      <c r="G110" s="5" t="s">
        <v>321</v>
      </c>
      <c r="H110" s="5" t="s">
        <v>386</v>
      </c>
      <c r="I110" s="5" t="s">
        <v>387</v>
      </c>
      <c r="J110" s="7"/>
    </row>
    <row r="111" spans="1:10" ht="18" customHeight="1" x14ac:dyDescent="0.25">
      <c r="A111" s="8"/>
      <c r="B111" s="9">
        <v>97</v>
      </c>
      <c r="C111" s="6" t="str">
        <f>IFERROR(VLOOKUP(B111,[1]customers!$A:$B,2,0),"")</f>
        <v>BMI CAD Services</v>
      </c>
      <c r="D111" s="9" t="s">
        <v>388</v>
      </c>
      <c r="E111" s="9" t="s">
        <v>389</v>
      </c>
      <c r="F111" s="9"/>
      <c r="G111" s="9" t="s">
        <v>390</v>
      </c>
      <c r="H111" s="9"/>
      <c r="I111" s="9">
        <v>8606580808</v>
      </c>
      <c r="J111" s="10"/>
    </row>
    <row r="112" spans="1:10" ht="18" customHeight="1" x14ac:dyDescent="0.25">
      <c r="A112" s="4"/>
      <c r="B112" s="5">
        <v>99</v>
      </c>
      <c r="C112" s="6" t="str">
        <f>IFERROR(VLOOKUP(B112,[1]customers!$A:$B,2,0),"")</f>
        <v>Bole Machinery Inc</v>
      </c>
      <c r="D112" s="5" t="s">
        <v>391</v>
      </c>
      <c r="E112" s="5" t="s">
        <v>392</v>
      </c>
      <c r="F112" s="5"/>
      <c r="G112" s="5" t="s">
        <v>393</v>
      </c>
      <c r="H112" s="5"/>
      <c r="I112" s="5" t="s">
        <v>394</v>
      </c>
      <c r="J112" s="7"/>
    </row>
    <row r="113" spans="1:10" ht="18" customHeight="1" x14ac:dyDescent="0.25">
      <c r="A113" s="8"/>
      <c r="B113" s="9">
        <v>99</v>
      </c>
      <c r="C113" s="6" t="str">
        <f>IFERROR(VLOOKUP(B113,[1]customers!$A:$B,2,0),"")</f>
        <v>Bole Machinery Inc</v>
      </c>
      <c r="D113" s="9" t="s">
        <v>391</v>
      </c>
      <c r="E113" s="9" t="s">
        <v>395</v>
      </c>
      <c r="F113" s="9"/>
      <c r="G113" s="9" t="s">
        <v>396</v>
      </c>
      <c r="H113" s="9"/>
      <c r="I113" s="9" t="s">
        <v>397</v>
      </c>
      <c r="J113" s="10"/>
    </row>
    <row r="114" spans="1:10" ht="18" customHeight="1" x14ac:dyDescent="0.25">
      <c r="A114" s="4"/>
      <c r="B114" s="5">
        <v>99</v>
      </c>
      <c r="C114" s="6" t="str">
        <f>IFERROR(VLOOKUP(B114,[1]customers!$A:$B,2,0),"")</f>
        <v>Bole Machinery Inc</v>
      </c>
      <c r="D114" s="5" t="s">
        <v>391</v>
      </c>
      <c r="E114" s="5" t="s">
        <v>398</v>
      </c>
      <c r="F114" s="5"/>
      <c r="G114" s="5" t="s">
        <v>399</v>
      </c>
      <c r="H114" s="5" t="s">
        <v>400</v>
      </c>
      <c r="I114" s="5"/>
      <c r="J114" s="7"/>
    </row>
    <row r="115" spans="1:10" ht="18" customHeight="1" x14ac:dyDescent="0.25">
      <c r="A115" s="8"/>
      <c r="B115" s="9">
        <v>99</v>
      </c>
      <c r="C115" s="6" t="str">
        <f>IFERROR(VLOOKUP(B115,[1]customers!$A:$B,2,0),"")</f>
        <v>Bole Machinery Inc</v>
      </c>
      <c r="D115" s="9" t="s">
        <v>391</v>
      </c>
      <c r="E115" s="9" t="s">
        <v>401</v>
      </c>
      <c r="F115" s="9"/>
      <c r="G115" s="9" t="s">
        <v>402</v>
      </c>
      <c r="H115" s="9"/>
      <c r="I115" s="9">
        <v>3303966658</v>
      </c>
      <c r="J115" s="10"/>
    </row>
    <row r="116" spans="1:10" ht="18" customHeight="1" x14ac:dyDescent="0.25">
      <c r="A116" s="4"/>
      <c r="B116" s="5">
        <v>100</v>
      </c>
      <c r="C116" s="6" t="str">
        <f>IFERROR(VLOOKUP(B116,[1]customers!$A:$B,2,0),"")</f>
        <v>Boneng Transmission</v>
      </c>
      <c r="D116" s="5" t="s">
        <v>403</v>
      </c>
      <c r="E116" s="5" t="s">
        <v>404</v>
      </c>
      <c r="F116" s="5"/>
      <c r="G116" s="5" t="s">
        <v>405</v>
      </c>
      <c r="H116" s="5"/>
      <c r="I116" s="5" t="s">
        <v>406</v>
      </c>
      <c r="J116" s="7"/>
    </row>
    <row r="117" spans="1:10" ht="18" customHeight="1" x14ac:dyDescent="0.25">
      <c r="A117" s="8"/>
      <c r="B117" s="9">
        <v>101</v>
      </c>
      <c r="C117" s="6" t="str">
        <f>IFERROR(VLOOKUP(B117,[1]customers!$A:$B,2,0),"")</f>
        <v>Boomerang Rubber Inc</v>
      </c>
      <c r="D117" s="9" t="s">
        <v>407</v>
      </c>
      <c r="E117" s="9" t="s">
        <v>408</v>
      </c>
      <c r="F117" s="9"/>
      <c r="G117" s="9" t="s">
        <v>409</v>
      </c>
      <c r="H117" s="9" t="s">
        <v>410</v>
      </c>
      <c r="I117" s="9"/>
      <c r="J117" s="10"/>
    </row>
    <row r="118" spans="1:10" ht="18" customHeight="1" x14ac:dyDescent="0.25">
      <c r="A118" s="4"/>
      <c r="B118" s="5">
        <v>102</v>
      </c>
      <c r="C118" s="6" t="str">
        <f>IFERROR(VLOOKUP(B118,[1]customers!$A:$B,2,0),"")</f>
        <v>BOS Innovations</v>
      </c>
      <c r="D118" s="5" t="s">
        <v>411</v>
      </c>
      <c r="E118" s="5" t="s">
        <v>412</v>
      </c>
      <c r="F118" s="5"/>
      <c r="G118" s="5" t="s">
        <v>413</v>
      </c>
      <c r="H118" s="5"/>
      <c r="I118" s="5" t="s">
        <v>414</v>
      </c>
      <c r="J118" s="7"/>
    </row>
    <row r="119" spans="1:10" ht="18" customHeight="1" x14ac:dyDescent="0.25">
      <c r="A119" s="8"/>
      <c r="B119" s="9">
        <v>104</v>
      </c>
      <c r="C119" s="6" t="str">
        <f>IFERROR(VLOOKUP(B119,[1]customers!$A:$B,2,0),"")</f>
        <v>Brackin MetalWorks LLC</v>
      </c>
      <c r="D119" s="9" t="s">
        <v>415</v>
      </c>
      <c r="E119" s="9" t="s">
        <v>416</v>
      </c>
      <c r="F119" s="9"/>
      <c r="G119" s="9" t="s">
        <v>417</v>
      </c>
      <c r="H119" s="9" t="s">
        <v>418</v>
      </c>
      <c r="I119" s="9"/>
      <c r="J119" s="10"/>
    </row>
    <row r="120" spans="1:10" ht="18" customHeight="1" x14ac:dyDescent="0.25">
      <c r="A120" s="4"/>
      <c r="B120" s="5">
        <v>105</v>
      </c>
      <c r="C120" s="6" t="str">
        <f>IFERROR(VLOOKUP(B120,[1]customers!$A:$B,2,0),"")</f>
        <v>Bradley Stone</v>
      </c>
      <c r="D120" s="5" t="s">
        <v>419</v>
      </c>
      <c r="E120" s="5" t="s">
        <v>420</v>
      </c>
      <c r="F120" s="5"/>
      <c r="G120" s="5" t="s">
        <v>421</v>
      </c>
      <c r="H120" s="5" t="s">
        <v>422</v>
      </c>
      <c r="I120" s="5"/>
      <c r="J120" s="7"/>
    </row>
    <row r="121" spans="1:10" ht="18" customHeight="1" x14ac:dyDescent="0.25">
      <c r="A121" s="8"/>
      <c r="B121" s="9">
        <v>106</v>
      </c>
      <c r="C121" s="6" t="str">
        <f>IFERROR(VLOOKUP(B121,[1]customers!$A:$B,2,0),"")</f>
        <v>Brainard Rivet</v>
      </c>
      <c r="D121" s="9" t="s">
        <v>423</v>
      </c>
      <c r="E121" s="9" t="s">
        <v>424</v>
      </c>
      <c r="F121" s="9"/>
      <c r="G121" s="9" t="s">
        <v>425</v>
      </c>
      <c r="H121" s="9"/>
      <c r="I121" s="9">
        <v>3305454931</v>
      </c>
      <c r="J121" s="10"/>
    </row>
    <row r="122" spans="1:10" ht="18" customHeight="1" x14ac:dyDescent="0.25">
      <c r="A122" s="8"/>
      <c r="B122" s="9">
        <v>107</v>
      </c>
      <c r="C122" s="6" t="str">
        <f>IFERROR(VLOOKUP(B122,[1]customers!$A:$B,2,0),"")</f>
        <v>Bridgestone/Firestone</v>
      </c>
      <c r="D122" s="9" t="s">
        <v>426</v>
      </c>
      <c r="E122" s="9" t="s">
        <v>427</v>
      </c>
      <c r="F122" s="9"/>
      <c r="G122" s="9" t="s">
        <v>428</v>
      </c>
      <c r="H122" s="9" t="s">
        <v>429</v>
      </c>
      <c r="I122" s="9"/>
      <c r="J122" s="10"/>
    </row>
    <row r="123" spans="1:10" ht="18" customHeight="1" x14ac:dyDescent="0.25">
      <c r="A123" s="4"/>
      <c r="B123" s="5">
        <v>107</v>
      </c>
      <c r="C123" s="6" t="str">
        <f>IFERROR(VLOOKUP(B123,[1]customers!$A:$B,2,0),"")</f>
        <v>Bridgestone/Firestone</v>
      </c>
      <c r="D123" s="5" t="s">
        <v>426</v>
      </c>
      <c r="E123" s="5" t="s">
        <v>430</v>
      </c>
      <c r="F123" s="5"/>
      <c r="G123" s="5" t="s">
        <v>431</v>
      </c>
      <c r="H123" s="5" t="s">
        <v>432</v>
      </c>
      <c r="I123" s="5"/>
      <c r="J123" s="7"/>
    </row>
    <row r="124" spans="1:10" ht="18" customHeight="1" x14ac:dyDescent="0.25">
      <c r="A124" s="8"/>
      <c r="B124" s="9">
        <v>107</v>
      </c>
      <c r="C124" s="6" t="str">
        <f>IFERROR(VLOOKUP(B124,[1]customers!$A:$B,2,0),"")</f>
        <v>Bridgestone/Firestone</v>
      </c>
      <c r="D124" s="9" t="s">
        <v>426</v>
      </c>
      <c r="E124" s="9" t="s">
        <v>433</v>
      </c>
      <c r="F124" s="9"/>
      <c r="G124" s="9" t="s">
        <v>434</v>
      </c>
      <c r="H124" s="9" t="s">
        <v>435</v>
      </c>
      <c r="I124" s="9"/>
      <c r="J124" s="10"/>
    </row>
    <row r="125" spans="1:10" ht="18" customHeight="1" x14ac:dyDescent="0.25">
      <c r="A125" s="8"/>
      <c r="B125" s="9">
        <v>108</v>
      </c>
      <c r="C125" s="6" t="str">
        <f>IFERROR(VLOOKUP(B125,[1]customers!$A:$B,2,0),"")</f>
        <v>Broco Products</v>
      </c>
      <c r="D125" s="9" t="s">
        <v>436</v>
      </c>
      <c r="E125" s="9" t="s">
        <v>437</v>
      </c>
      <c r="F125" s="9"/>
      <c r="G125" s="9" t="s">
        <v>438</v>
      </c>
      <c r="H125" s="9"/>
      <c r="I125" s="9" t="s">
        <v>439</v>
      </c>
      <c r="J125" s="10"/>
    </row>
    <row r="126" spans="1:10" ht="18" customHeight="1" x14ac:dyDescent="0.25">
      <c r="A126" s="4"/>
      <c r="B126" s="5">
        <v>109</v>
      </c>
      <c r="C126" s="6" t="str">
        <f>IFERROR(VLOOKUP(B126,[1]customers!$A:$B,2,0),"")</f>
        <v>Brost Foundry</v>
      </c>
      <c r="D126" s="5" t="s">
        <v>440</v>
      </c>
      <c r="E126" s="5" t="s">
        <v>441</v>
      </c>
      <c r="F126" s="5"/>
      <c r="G126" s="5" t="s">
        <v>442</v>
      </c>
      <c r="H126" s="5" t="s">
        <v>443</v>
      </c>
      <c r="I126" s="5" t="s">
        <v>444</v>
      </c>
      <c r="J126" s="7"/>
    </row>
    <row r="127" spans="1:10" ht="18" customHeight="1" x14ac:dyDescent="0.25">
      <c r="A127" s="8"/>
      <c r="B127" s="9">
        <v>111</v>
      </c>
      <c r="C127" s="6" t="str">
        <f>IFERROR(VLOOKUP(B127,[1]customers!$A:$B,2,0),"")</f>
        <v>Buckeye Polymers, Inc</v>
      </c>
      <c r="D127" s="9" t="s">
        <v>445</v>
      </c>
      <c r="E127" s="9" t="s">
        <v>446</v>
      </c>
      <c r="F127" s="9"/>
      <c r="G127" s="9" t="s">
        <v>447</v>
      </c>
      <c r="H127" s="9"/>
      <c r="I127" s="9" t="s">
        <v>448</v>
      </c>
      <c r="J127" s="10"/>
    </row>
    <row r="128" spans="1:10" ht="18" customHeight="1" x14ac:dyDescent="0.25">
      <c r="A128" s="4"/>
      <c r="B128" s="5">
        <v>111</v>
      </c>
      <c r="C128" s="6" t="str">
        <f>IFERROR(VLOOKUP(B128,[1]customers!$A:$B,2,0),"")</f>
        <v>Buckeye Polymers, Inc</v>
      </c>
      <c r="D128" s="5" t="s">
        <v>445</v>
      </c>
      <c r="E128" s="5" t="s">
        <v>449</v>
      </c>
      <c r="F128" s="5"/>
      <c r="G128" s="5" t="s">
        <v>450</v>
      </c>
      <c r="H128" s="5"/>
      <c r="I128" s="5" t="s">
        <v>451</v>
      </c>
      <c r="J128" s="7"/>
    </row>
    <row r="129" spans="1:10" ht="18" customHeight="1" x14ac:dyDescent="0.25">
      <c r="A129" s="8"/>
      <c r="B129" s="9">
        <v>112</v>
      </c>
      <c r="C129" s="6" t="str">
        <f>IFERROR(VLOOKUP(B129,[1]customers!$A:$B,2,0),"")</f>
        <v>Buckeye Tin</v>
      </c>
      <c r="D129" s="9" t="s">
        <v>452</v>
      </c>
      <c r="E129" s="9" t="s">
        <v>453</v>
      </c>
      <c r="F129" s="9"/>
      <c r="G129" s="9" t="s">
        <v>454</v>
      </c>
      <c r="H129" s="9"/>
      <c r="I129" s="9" t="s">
        <v>455</v>
      </c>
      <c r="J129" s="10"/>
    </row>
    <row r="130" spans="1:10" ht="18" customHeight="1" x14ac:dyDescent="0.25">
      <c r="A130" s="4"/>
      <c r="B130" s="5">
        <v>113</v>
      </c>
      <c r="C130" s="6" t="str">
        <f>IFERROR(VLOOKUP(B130,[1]customers!$A:$B,2,0),"")</f>
        <v>Bullseye Calibration</v>
      </c>
      <c r="D130" s="5" t="s">
        <v>456</v>
      </c>
      <c r="E130" s="5" t="s">
        <v>457</v>
      </c>
      <c r="F130" s="5"/>
      <c r="G130" s="5" t="s">
        <v>458</v>
      </c>
      <c r="H130" s="5"/>
      <c r="I130" s="5" t="s">
        <v>459</v>
      </c>
      <c r="J130" s="7"/>
    </row>
    <row r="131" spans="1:10" ht="18" customHeight="1" x14ac:dyDescent="0.25">
      <c r="A131" s="8"/>
      <c r="B131" s="9">
        <v>114</v>
      </c>
      <c r="C131" s="6" t="str">
        <f>IFERROR(VLOOKUP(B131,[1]customers!$A:$B,2,0),"")</f>
        <v>BULU</v>
      </c>
      <c r="D131" s="9" t="s">
        <v>460</v>
      </c>
      <c r="E131" s="9" t="s">
        <v>461</v>
      </c>
      <c r="F131" s="9"/>
      <c r="G131" s="9" t="s">
        <v>462</v>
      </c>
      <c r="H131" s="9"/>
      <c r="I131" s="9" t="s">
        <v>463</v>
      </c>
      <c r="J131" s="10"/>
    </row>
    <row r="132" spans="1:10" ht="18" customHeight="1" x14ac:dyDescent="0.25">
      <c r="A132" s="4"/>
      <c r="B132" s="5">
        <v>115</v>
      </c>
      <c r="C132" s="6" t="str">
        <f>IFERROR(VLOOKUP(B132,[1]customers!$A:$B,2,0),"")</f>
        <v>Busch Cremation</v>
      </c>
      <c r="D132" s="5" t="s">
        <v>464</v>
      </c>
      <c r="E132" s="5" t="s">
        <v>465</v>
      </c>
      <c r="F132" s="5"/>
      <c r="G132" s="5" t="s">
        <v>466</v>
      </c>
      <c r="H132" s="5"/>
      <c r="I132" s="5" t="s">
        <v>467</v>
      </c>
      <c r="J132" s="7"/>
    </row>
    <row r="133" spans="1:10" ht="18" customHeight="1" x14ac:dyDescent="0.25">
      <c r="A133" s="8"/>
      <c r="B133" s="9">
        <v>116</v>
      </c>
      <c r="C133" s="6" t="str">
        <f>IFERROR(VLOOKUP(B133,[1]customers!$A:$B,2,0),"")</f>
        <v>BV MFG Inc</v>
      </c>
      <c r="D133" s="9" t="s">
        <v>468</v>
      </c>
      <c r="E133" s="9" t="s">
        <v>469</v>
      </c>
      <c r="F133" s="9"/>
      <c r="G133" s="9" t="s">
        <v>470</v>
      </c>
      <c r="H133" s="9"/>
      <c r="I133" s="9" t="s">
        <v>471</v>
      </c>
      <c r="J133" s="10"/>
    </row>
    <row r="134" spans="1:10" ht="18" customHeight="1" x14ac:dyDescent="0.25">
      <c r="A134" s="4"/>
      <c r="B134" s="5">
        <v>117</v>
      </c>
      <c r="C134" s="6" t="str">
        <f>IFERROR(VLOOKUP(B134,[1]customers!$A:$B,2,0),"")</f>
        <v>C&amp;B Machine Inc</v>
      </c>
      <c r="D134" s="5" t="s">
        <v>472</v>
      </c>
      <c r="E134" s="5" t="s">
        <v>473</v>
      </c>
      <c r="F134" s="5"/>
      <c r="G134" s="5"/>
      <c r="H134" s="5"/>
      <c r="I134" s="5" t="s">
        <v>474</v>
      </c>
      <c r="J134" s="7"/>
    </row>
    <row r="135" spans="1:10" ht="18" customHeight="1" x14ac:dyDescent="0.25">
      <c r="A135" s="8"/>
      <c r="B135" s="9">
        <v>118</v>
      </c>
      <c r="C135" s="6" t="str">
        <f>IFERROR(VLOOKUP(B135,[1]customers!$A:$B,2,0),"")</f>
        <v>C.H. Reed, Inc.</v>
      </c>
      <c r="D135" s="9" t="s">
        <v>475</v>
      </c>
      <c r="E135" s="9" t="s">
        <v>476</v>
      </c>
      <c r="F135" s="9"/>
      <c r="G135" s="9" t="s">
        <v>477</v>
      </c>
      <c r="H135" s="9"/>
      <c r="I135" s="9">
        <v>4404885384</v>
      </c>
      <c r="J135" s="10"/>
    </row>
    <row r="136" spans="1:10" ht="18" customHeight="1" x14ac:dyDescent="0.25">
      <c r="A136" s="4"/>
      <c r="B136" s="5">
        <v>119</v>
      </c>
      <c r="C136" s="6" t="str">
        <f>IFERROR(VLOOKUP(B136,[1]customers!$A:$B,2,0),"")</f>
        <v>Cabmat</v>
      </c>
      <c r="D136" s="5" t="s">
        <v>478</v>
      </c>
      <c r="E136" s="5" t="s">
        <v>479</v>
      </c>
      <c r="F136" s="5"/>
      <c r="G136" s="5" t="s">
        <v>480</v>
      </c>
      <c r="H136" s="5"/>
      <c r="I136" s="5" t="s">
        <v>481</v>
      </c>
      <c r="J136" s="7"/>
    </row>
    <row r="137" spans="1:10" ht="18" customHeight="1" x14ac:dyDescent="0.25">
      <c r="A137" s="8"/>
      <c r="B137" s="9">
        <v>119</v>
      </c>
      <c r="C137" s="6" t="str">
        <f>IFERROR(VLOOKUP(B137,[1]customers!$A:$B,2,0),"")</f>
        <v>Cabmat</v>
      </c>
      <c r="D137" s="9" t="s">
        <v>478</v>
      </c>
      <c r="E137" s="9" t="s">
        <v>482</v>
      </c>
      <c r="F137" s="9"/>
      <c r="G137" s="9" t="s">
        <v>483</v>
      </c>
      <c r="H137" s="9" t="s">
        <v>484</v>
      </c>
      <c r="I137" s="9" t="s">
        <v>485</v>
      </c>
      <c r="J137" s="10"/>
    </row>
    <row r="138" spans="1:10" ht="18" customHeight="1" x14ac:dyDescent="0.25">
      <c r="A138" s="8"/>
      <c r="B138" s="9">
        <v>123</v>
      </c>
      <c r="C138" s="6" t="str">
        <f>IFERROR(VLOOKUP(B138,[1]customers!$A:$B,2,0),"")</f>
        <v>Capital Tire</v>
      </c>
      <c r="D138" s="9" t="s">
        <v>486</v>
      </c>
      <c r="E138" s="9" t="s">
        <v>487</v>
      </c>
      <c r="F138" s="9"/>
      <c r="G138" s="9" t="s">
        <v>488</v>
      </c>
      <c r="H138" s="9"/>
      <c r="I138" s="9" t="s">
        <v>489</v>
      </c>
      <c r="J138" s="10"/>
    </row>
    <row r="139" spans="1:10" ht="18" customHeight="1" x14ac:dyDescent="0.25">
      <c r="A139" s="4"/>
      <c r="B139" s="5">
        <v>127</v>
      </c>
      <c r="C139" s="6" t="str">
        <f>IFERROR(VLOOKUP(B139,[1]customers!$A:$B,2,0),"")</f>
        <v>Carlisle Brake &amp; Friction</v>
      </c>
      <c r="D139" s="5" t="s">
        <v>490</v>
      </c>
      <c r="E139" s="5" t="s">
        <v>491</v>
      </c>
      <c r="F139" s="5"/>
      <c r="G139" s="5"/>
      <c r="H139" s="5" t="s">
        <v>492</v>
      </c>
      <c r="I139" s="5"/>
      <c r="J139" s="7"/>
    </row>
    <row r="140" spans="1:10" ht="18" customHeight="1" x14ac:dyDescent="0.25">
      <c r="A140" s="8"/>
      <c r="B140" s="9">
        <v>127</v>
      </c>
      <c r="C140" s="6" t="str">
        <f>IFERROR(VLOOKUP(B140,[1]customers!$A:$B,2,0),"")</f>
        <v>Carlisle Brake &amp; Friction</v>
      </c>
      <c r="D140" s="9" t="s">
        <v>490</v>
      </c>
      <c r="E140" s="9" t="s">
        <v>493</v>
      </c>
      <c r="F140" s="9"/>
      <c r="G140" s="9" t="s">
        <v>494</v>
      </c>
      <c r="H140" s="9" t="s">
        <v>495</v>
      </c>
      <c r="I140" s="9" t="s">
        <v>496</v>
      </c>
      <c r="J140" s="10"/>
    </row>
    <row r="141" spans="1:10" ht="18" customHeight="1" x14ac:dyDescent="0.25">
      <c r="A141" s="4"/>
      <c r="B141" s="5">
        <v>127</v>
      </c>
      <c r="C141" s="6" t="str">
        <f>IFERROR(VLOOKUP(B141,[1]customers!$A:$B,2,0),"")</f>
        <v>Carlisle Brake &amp; Friction</v>
      </c>
      <c r="D141" s="5" t="s">
        <v>490</v>
      </c>
      <c r="E141" s="5" t="s">
        <v>497</v>
      </c>
      <c r="F141" s="5"/>
      <c r="G141" s="5" t="s">
        <v>498</v>
      </c>
      <c r="H141" s="5"/>
      <c r="I141" s="5" t="s">
        <v>499</v>
      </c>
      <c r="J141" s="7"/>
    </row>
    <row r="142" spans="1:10" ht="18" customHeight="1" x14ac:dyDescent="0.25">
      <c r="A142" s="8"/>
      <c r="B142" s="9">
        <v>127</v>
      </c>
      <c r="C142" s="6" t="str">
        <f>IFERROR(VLOOKUP(B142,[1]customers!$A:$B,2,0),"")</f>
        <v>Carlisle Brake &amp; Friction</v>
      </c>
      <c r="D142" s="9" t="s">
        <v>490</v>
      </c>
      <c r="E142" s="9" t="s">
        <v>500</v>
      </c>
      <c r="F142" s="9"/>
      <c r="G142" s="9"/>
      <c r="H142" s="9"/>
      <c r="I142" s="9" t="s">
        <v>501</v>
      </c>
      <c r="J142" s="10"/>
    </row>
    <row r="143" spans="1:10" ht="18" customHeight="1" x14ac:dyDescent="0.25">
      <c r="A143" s="4"/>
      <c r="B143" s="5">
        <v>127</v>
      </c>
      <c r="C143" s="6" t="str">
        <f>IFERROR(VLOOKUP(B143,[1]customers!$A:$B,2,0),"")</f>
        <v>Carlisle Brake &amp; Friction</v>
      </c>
      <c r="D143" s="5" t="s">
        <v>490</v>
      </c>
      <c r="E143" s="5" t="s">
        <v>502</v>
      </c>
      <c r="F143" s="5"/>
      <c r="G143" s="5" t="s">
        <v>503</v>
      </c>
      <c r="H143" s="5" t="s">
        <v>504</v>
      </c>
      <c r="I143" s="5" t="s">
        <v>505</v>
      </c>
      <c r="J143" s="7"/>
    </row>
    <row r="144" spans="1:10" ht="18" customHeight="1" x14ac:dyDescent="0.25">
      <c r="A144" s="8"/>
      <c r="B144" s="9">
        <v>127</v>
      </c>
      <c r="C144" s="6" t="str">
        <f>IFERROR(VLOOKUP(B144,[1]customers!$A:$B,2,0),"")</f>
        <v>Carlisle Brake &amp; Friction</v>
      </c>
      <c r="D144" s="9" t="s">
        <v>490</v>
      </c>
      <c r="E144" s="9" t="s">
        <v>506</v>
      </c>
      <c r="F144" s="9"/>
      <c r="G144" s="9" t="s">
        <v>507</v>
      </c>
      <c r="H144" s="9" t="s">
        <v>508</v>
      </c>
      <c r="I144" s="9"/>
      <c r="J144" s="10"/>
    </row>
    <row r="145" spans="1:10" ht="18" customHeight="1" x14ac:dyDescent="0.25">
      <c r="A145" s="4"/>
      <c r="B145" s="5">
        <v>127</v>
      </c>
      <c r="C145" s="6" t="str">
        <f>IFERROR(VLOOKUP(B145,[1]customers!$A:$B,2,0),"")</f>
        <v>Carlisle Brake &amp; Friction</v>
      </c>
      <c r="D145" s="5" t="s">
        <v>490</v>
      </c>
      <c r="E145" s="5" t="s">
        <v>509</v>
      </c>
      <c r="F145" s="5"/>
      <c r="G145" s="5" t="s">
        <v>507</v>
      </c>
      <c r="H145" s="5" t="s">
        <v>508</v>
      </c>
      <c r="I145" s="5"/>
      <c r="J145" s="7"/>
    </row>
    <row r="146" spans="1:10" ht="18" customHeight="1" x14ac:dyDescent="0.25">
      <c r="A146" s="8"/>
      <c r="B146" s="9">
        <v>128</v>
      </c>
      <c r="C146" s="6" t="str">
        <f>IFERROR(VLOOKUP(B146,[1]customers!$A:$B,2,0),"")</f>
        <v>Casco USA</v>
      </c>
      <c r="D146" s="9" t="s">
        <v>510</v>
      </c>
      <c r="E146" s="9" t="s">
        <v>511</v>
      </c>
      <c r="F146" s="9"/>
      <c r="G146" s="9" t="s">
        <v>512</v>
      </c>
      <c r="H146" s="9"/>
      <c r="I146" s="9" t="s">
        <v>513</v>
      </c>
      <c r="J146" s="10"/>
    </row>
    <row r="147" spans="1:10" ht="18" customHeight="1" x14ac:dyDescent="0.25">
      <c r="A147" s="4"/>
      <c r="B147" s="5">
        <v>128</v>
      </c>
      <c r="C147" s="6" t="str">
        <f>IFERROR(VLOOKUP(B147,[1]customers!$A:$B,2,0),"")</f>
        <v>Casco USA</v>
      </c>
      <c r="D147" s="5" t="s">
        <v>510</v>
      </c>
      <c r="E147" s="5" t="s">
        <v>514</v>
      </c>
      <c r="F147" s="5"/>
      <c r="G147" s="5" t="s">
        <v>515</v>
      </c>
      <c r="H147" s="5" t="s">
        <v>516</v>
      </c>
      <c r="I147" s="5" t="s">
        <v>517</v>
      </c>
      <c r="J147" s="7"/>
    </row>
    <row r="148" spans="1:10" ht="18" customHeight="1" x14ac:dyDescent="0.25">
      <c r="A148" s="8"/>
      <c r="B148" s="9">
        <v>128</v>
      </c>
      <c r="C148" s="6" t="str">
        <f>IFERROR(VLOOKUP(B148,[1]customers!$A:$B,2,0),"")</f>
        <v>Casco USA</v>
      </c>
      <c r="D148" s="9" t="s">
        <v>510</v>
      </c>
      <c r="E148" s="9" t="s">
        <v>518</v>
      </c>
      <c r="F148" s="9"/>
      <c r="G148" s="9" t="s">
        <v>519</v>
      </c>
      <c r="H148" s="9" t="s">
        <v>520</v>
      </c>
      <c r="I148" s="9"/>
      <c r="J148" s="10"/>
    </row>
    <row r="149" spans="1:10" ht="18" customHeight="1" x14ac:dyDescent="0.25">
      <c r="A149" s="4"/>
      <c r="B149" s="5">
        <v>128</v>
      </c>
      <c r="C149" s="6" t="str">
        <f>IFERROR(VLOOKUP(B149,[1]customers!$A:$B,2,0),"")</f>
        <v>Casco USA</v>
      </c>
      <c r="D149" s="5" t="s">
        <v>510</v>
      </c>
      <c r="E149" s="5" t="s">
        <v>521</v>
      </c>
      <c r="F149" s="5"/>
      <c r="G149" s="5" t="s">
        <v>522</v>
      </c>
      <c r="H149" s="5"/>
      <c r="I149" s="5" t="s">
        <v>517</v>
      </c>
      <c r="J149" s="7"/>
    </row>
    <row r="150" spans="1:10" ht="18" customHeight="1" x14ac:dyDescent="0.25">
      <c r="A150" s="8"/>
      <c r="B150" s="9">
        <v>129</v>
      </c>
      <c r="C150" s="6" t="str">
        <f>IFERROR(VLOOKUP(B150,[1]customers!$A:$B,2,0),"")</f>
        <v>Cassano's Pizza</v>
      </c>
      <c r="D150" s="9" t="s">
        <v>523</v>
      </c>
      <c r="E150" s="9" t="s">
        <v>524</v>
      </c>
      <c r="F150" s="9"/>
      <c r="G150" s="9" t="s">
        <v>525</v>
      </c>
      <c r="H150" s="9"/>
      <c r="I150" s="9" t="s">
        <v>526</v>
      </c>
      <c r="J150" s="10"/>
    </row>
    <row r="151" spans="1:10" ht="18" customHeight="1" x14ac:dyDescent="0.25">
      <c r="A151" s="4"/>
      <c r="B151" s="5">
        <v>130</v>
      </c>
      <c r="C151" s="6" t="str">
        <f>IFERROR(VLOOKUP(B151,[1]customers!$A:$B,2,0),"")</f>
        <v>Castle Heating &amp; Air Inc.</v>
      </c>
      <c r="D151" s="5" t="s">
        <v>527</v>
      </c>
      <c r="E151" s="5" t="s">
        <v>528</v>
      </c>
      <c r="F151" s="5"/>
      <c r="G151" s="5" t="s">
        <v>529</v>
      </c>
      <c r="H151" s="5"/>
      <c r="I151" s="5" t="s">
        <v>530</v>
      </c>
      <c r="J151" s="7"/>
    </row>
    <row r="152" spans="1:10" ht="18" customHeight="1" x14ac:dyDescent="0.25">
      <c r="A152" s="8"/>
      <c r="B152" s="9">
        <v>130</v>
      </c>
      <c r="C152" s="6" t="str">
        <f>IFERROR(VLOOKUP(B152,[1]customers!$A:$B,2,0),"")</f>
        <v>Castle Heating &amp; Air Inc.</v>
      </c>
      <c r="D152" s="9" t="s">
        <v>527</v>
      </c>
      <c r="E152" s="9" t="s">
        <v>531</v>
      </c>
      <c r="F152" s="9"/>
      <c r="G152" s="9" t="s">
        <v>532</v>
      </c>
      <c r="H152" s="9" t="s">
        <v>533</v>
      </c>
      <c r="I152" s="9"/>
      <c r="J152" s="10"/>
    </row>
    <row r="153" spans="1:10" ht="18" customHeight="1" x14ac:dyDescent="0.25">
      <c r="A153" s="8"/>
      <c r="B153" s="9">
        <v>133</v>
      </c>
      <c r="C153" s="6" t="str">
        <f>IFERROR(VLOOKUP(B153,[1]customers!$A:$B,2,0),"")</f>
        <v>Chapin Custom Molding</v>
      </c>
      <c r="D153" s="9" t="s">
        <v>534</v>
      </c>
      <c r="E153" s="9" t="s">
        <v>118</v>
      </c>
      <c r="F153" s="9"/>
      <c r="G153" s="9"/>
      <c r="H153" s="9"/>
      <c r="I153" s="9" t="s">
        <v>120</v>
      </c>
      <c r="J153" s="10"/>
    </row>
    <row r="154" spans="1:10" ht="18" customHeight="1" x14ac:dyDescent="0.25">
      <c r="A154" s="4"/>
      <c r="B154" s="5">
        <v>133</v>
      </c>
      <c r="C154" s="6" t="str">
        <f>IFERROR(VLOOKUP(B154,[1]customers!$A:$B,2,0),"")</f>
        <v>Chapin Custom Molding</v>
      </c>
      <c r="D154" s="5" t="s">
        <v>535</v>
      </c>
      <c r="E154" s="5" t="s">
        <v>536</v>
      </c>
      <c r="F154" s="5"/>
      <c r="G154" s="5" t="s">
        <v>537</v>
      </c>
      <c r="H154" s="5"/>
      <c r="I154" s="5" t="s">
        <v>538</v>
      </c>
      <c r="J154" s="7"/>
    </row>
    <row r="155" spans="1:10" ht="18" customHeight="1" x14ac:dyDescent="0.25">
      <c r="A155" s="8"/>
      <c r="B155" s="9">
        <v>134</v>
      </c>
      <c r="C155" s="6" t="str">
        <f>IFERROR(VLOOKUP(B155,[1]customers!$A:$B,2,0),"")</f>
        <v>Chapman Associates</v>
      </c>
      <c r="D155" s="9" t="s">
        <v>539</v>
      </c>
      <c r="E155" s="9" t="s">
        <v>540</v>
      </c>
      <c r="F155" s="9"/>
      <c r="G155" s="9" t="s">
        <v>541</v>
      </c>
      <c r="H155" s="9" t="s">
        <v>542</v>
      </c>
      <c r="I155" s="9"/>
      <c r="J155" s="10"/>
    </row>
    <row r="156" spans="1:10" ht="18" customHeight="1" x14ac:dyDescent="0.25">
      <c r="A156" s="4"/>
      <c r="B156" s="5">
        <v>135</v>
      </c>
      <c r="C156" s="6" t="str">
        <f>IFERROR(VLOOKUP(B156,[1]customers!$A:$B,2,0),"")</f>
        <v>CHOF School</v>
      </c>
      <c r="D156" s="5" t="s">
        <v>543</v>
      </c>
      <c r="E156" s="5" t="s">
        <v>544</v>
      </c>
      <c r="F156" s="5"/>
      <c r="G156" s="5" t="s">
        <v>545</v>
      </c>
      <c r="H156" s="5" t="s">
        <v>546</v>
      </c>
      <c r="I156" s="5"/>
      <c r="J156" s="7"/>
    </row>
    <row r="157" spans="1:10" ht="18" customHeight="1" x14ac:dyDescent="0.25">
      <c r="A157" s="4"/>
      <c r="B157" s="5">
        <v>138</v>
      </c>
      <c r="C157" s="6" t="str">
        <f>IFERROR(VLOOKUP(B157,[1]customers!$A:$B,2,0),"")</f>
        <v>Circon Environmental</v>
      </c>
      <c r="D157" s="5" t="s">
        <v>547</v>
      </c>
      <c r="E157" s="5" t="s">
        <v>548</v>
      </c>
      <c r="F157" s="5"/>
      <c r="G157" s="5"/>
      <c r="H157" s="5"/>
      <c r="I157" s="5" t="s">
        <v>549</v>
      </c>
      <c r="J157" s="7"/>
    </row>
    <row r="158" spans="1:10" ht="18" customHeight="1" x14ac:dyDescent="0.25">
      <c r="A158" s="8"/>
      <c r="B158" s="9">
        <v>142</v>
      </c>
      <c r="C158" s="6" t="str">
        <f>IFERROR(VLOOKUP(B158,[1]customers!$A:$B,2,0),"")</f>
        <v>Cleveland Industrial Innovation</v>
      </c>
      <c r="D158" s="9" t="s">
        <v>550</v>
      </c>
      <c r="E158" s="9" t="s">
        <v>551</v>
      </c>
      <c r="F158" s="9"/>
      <c r="G158" s="9" t="s">
        <v>552</v>
      </c>
      <c r="H158" s="9" t="s">
        <v>553</v>
      </c>
      <c r="I158" s="9"/>
      <c r="J158" s="10"/>
    </row>
    <row r="159" spans="1:10" ht="18" customHeight="1" x14ac:dyDescent="0.25">
      <c r="A159" s="4"/>
      <c r="B159" s="5">
        <v>142</v>
      </c>
      <c r="C159" s="6" t="str">
        <f>IFERROR(VLOOKUP(B159,[1]customers!$A:$B,2,0),"")</f>
        <v>Cleveland Industrial Innovation</v>
      </c>
      <c r="D159" s="5" t="s">
        <v>550</v>
      </c>
      <c r="E159" s="5" t="s">
        <v>554</v>
      </c>
      <c r="F159" s="5"/>
      <c r="G159" s="5" t="s">
        <v>555</v>
      </c>
      <c r="H159" s="5" t="s">
        <v>556</v>
      </c>
      <c r="I159" s="5"/>
      <c r="J159" s="7"/>
    </row>
    <row r="160" spans="1:10" ht="18" customHeight="1" x14ac:dyDescent="0.25">
      <c r="A160" s="8"/>
      <c r="B160" s="9">
        <v>142</v>
      </c>
      <c r="C160" s="6" t="str">
        <f>IFERROR(VLOOKUP(B160,[1]customers!$A:$B,2,0),"")</f>
        <v>Cleveland Industrial Innovation</v>
      </c>
      <c r="D160" s="9" t="s">
        <v>557</v>
      </c>
      <c r="E160" s="9" t="s">
        <v>558</v>
      </c>
      <c r="F160" s="9"/>
      <c r="G160" s="9" t="s">
        <v>559</v>
      </c>
      <c r="H160" s="9" t="s">
        <v>560</v>
      </c>
      <c r="I160" s="9"/>
      <c r="J160" s="10"/>
    </row>
    <row r="161" spans="1:10" ht="18" customHeight="1" x14ac:dyDescent="0.25">
      <c r="A161" s="8"/>
      <c r="B161" s="9">
        <v>143</v>
      </c>
      <c r="C161" s="6" t="str">
        <f>IFERROR(VLOOKUP(B161,[1]customers!$A:$B,2,0),"")</f>
        <v>Cleveland Punch and Die Company</v>
      </c>
      <c r="D161" s="9" t="s">
        <v>561</v>
      </c>
      <c r="E161" s="9" t="s">
        <v>562</v>
      </c>
      <c r="F161" s="9"/>
      <c r="G161" s="9" t="s">
        <v>563</v>
      </c>
      <c r="H161" s="9"/>
      <c r="I161" s="9">
        <v>3302964342</v>
      </c>
      <c r="J161" s="10"/>
    </row>
    <row r="162" spans="1:10" ht="18" customHeight="1" x14ac:dyDescent="0.25">
      <c r="A162" s="4"/>
      <c r="B162" s="5">
        <v>144</v>
      </c>
      <c r="C162" s="6" t="str">
        <f>IFERROR(VLOOKUP(B162,[1]customers!$A:$B,2,0),"")</f>
        <v>Cline Mechanical</v>
      </c>
      <c r="D162" s="5" t="s">
        <v>564</v>
      </c>
      <c r="E162" s="5" t="s">
        <v>565</v>
      </c>
      <c r="F162" s="5"/>
      <c r="G162" s="5" t="s">
        <v>566</v>
      </c>
      <c r="H162" s="5" t="s">
        <v>567</v>
      </c>
      <c r="I162" s="5"/>
      <c r="J162" s="7"/>
    </row>
    <row r="163" spans="1:10" ht="18" customHeight="1" x14ac:dyDescent="0.25">
      <c r="A163" s="8"/>
      <c r="B163" s="9">
        <v>144</v>
      </c>
      <c r="C163" s="6" t="str">
        <f>IFERROR(VLOOKUP(B163,[1]customers!$A:$B,2,0),"")</f>
        <v>Cline Mechanical</v>
      </c>
      <c r="D163" s="9" t="s">
        <v>564</v>
      </c>
      <c r="E163" s="9" t="s">
        <v>568</v>
      </c>
      <c r="F163" s="9"/>
      <c r="G163" s="9" t="s">
        <v>569</v>
      </c>
      <c r="H163" s="9"/>
      <c r="I163" s="9" t="s">
        <v>570</v>
      </c>
      <c r="J163" s="10"/>
    </row>
    <row r="164" spans="1:10" ht="18" customHeight="1" x14ac:dyDescent="0.25">
      <c r="A164" s="4"/>
      <c r="B164" s="5">
        <v>144</v>
      </c>
      <c r="C164" s="6" t="str">
        <f>IFERROR(VLOOKUP(B164,[1]customers!$A:$B,2,0),"")</f>
        <v>Cline Mechanical</v>
      </c>
      <c r="D164" s="5" t="s">
        <v>564</v>
      </c>
      <c r="E164" s="5" t="s">
        <v>571</v>
      </c>
      <c r="F164" s="5"/>
      <c r="G164" s="5" t="s">
        <v>572</v>
      </c>
      <c r="H164" s="5"/>
      <c r="I164" s="5" t="s">
        <v>573</v>
      </c>
      <c r="J164" s="7"/>
    </row>
    <row r="165" spans="1:10" ht="18" customHeight="1" x14ac:dyDescent="0.25">
      <c r="A165" s="8"/>
      <c r="B165" s="9">
        <v>145</v>
      </c>
      <c r="C165" s="6" t="str">
        <f>IFERROR(VLOOKUP(B165,[1]customers!$A:$B,2,0),"")</f>
        <v>Clinton Aluminum</v>
      </c>
      <c r="D165" s="9" t="s">
        <v>574</v>
      </c>
      <c r="E165" s="9" t="s">
        <v>575</v>
      </c>
      <c r="F165" s="9"/>
      <c r="G165" s="9" t="s">
        <v>576</v>
      </c>
      <c r="H165" s="9" t="s">
        <v>577</v>
      </c>
      <c r="I165" s="9" t="s">
        <v>578</v>
      </c>
      <c r="J165" s="10"/>
    </row>
    <row r="166" spans="1:10" ht="18" customHeight="1" x14ac:dyDescent="0.25">
      <c r="A166" s="4"/>
      <c r="B166" s="5">
        <v>145</v>
      </c>
      <c r="C166" s="6" t="str">
        <f>IFERROR(VLOOKUP(B166,[1]customers!$A:$B,2,0),"")</f>
        <v>Clinton Aluminum</v>
      </c>
      <c r="D166" s="5" t="s">
        <v>574</v>
      </c>
      <c r="E166" s="5" t="s">
        <v>579</v>
      </c>
      <c r="F166" s="5"/>
      <c r="G166" s="5" t="s">
        <v>580</v>
      </c>
      <c r="H166" s="5" t="s">
        <v>581</v>
      </c>
      <c r="I166" s="5" t="s">
        <v>582</v>
      </c>
      <c r="J166" s="7"/>
    </row>
    <row r="167" spans="1:10" ht="18" customHeight="1" x14ac:dyDescent="0.25">
      <c r="A167" s="8"/>
      <c r="B167" s="9">
        <v>145</v>
      </c>
      <c r="C167" s="6" t="str">
        <f>IFERROR(VLOOKUP(B167,[1]customers!$A:$B,2,0),"")</f>
        <v>Clinton Aluminum</v>
      </c>
      <c r="D167" s="9" t="s">
        <v>574</v>
      </c>
      <c r="E167" s="9" t="s">
        <v>583</v>
      </c>
      <c r="F167" s="9"/>
      <c r="G167" s="9" t="s">
        <v>584</v>
      </c>
      <c r="H167" s="9" t="s">
        <v>585</v>
      </c>
      <c r="I167" s="9" t="s">
        <v>586</v>
      </c>
      <c r="J167" s="10"/>
    </row>
    <row r="168" spans="1:10" ht="18" customHeight="1" x14ac:dyDescent="0.25">
      <c r="A168" s="8"/>
      <c r="B168" s="9">
        <v>147</v>
      </c>
      <c r="C168" s="6" t="str">
        <f>IFERROR(VLOOKUP(B168,[1]customers!$A:$B,2,0),"")</f>
        <v>CLS Industrial</v>
      </c>
      <c r="D168" s="9" t="s">
        <v>587</v>
      </c>
      <c r="E168" s="9" t="s">
        <v>588</v>
      </c>
      <c r="F168" s="9"/>
      <c r="G168" s="9" t="s">
        <v>589</v>
      </c>
      <c r="H168" s="9" t="s">
        <v>590</v>
      </c>
      <c r="I168" s="9"/>
      <c r="J168" s="10"/>
    </row>
    <row r="169" spans="1:10" ht="18" customHeight="1" x14ac:dyDescent="0.25">
      <c r="A169" s="8"/>
      <c r="B169" s="9">
        <v>148</v>
      </c>
      <c r="C169" s="6" t="str">
        <f>IFERROR(VLOOKUP(B169,[1]customers!$A:$B,2,0),"")</f>
        <v>Coast International Services, Inc.</v>
      </c>
      <c r="D169" s="9" t="s">
        <v>591</v>
      </c>
      <c r="E169" s="9" t="s">
        <v>592</v>
      </c>
      <c r="F169" s="9"/>
      <c r="G169" s="9" t="s">
        <v>593</v>
      </c>
      <c r="H169" s="9"/>
      <c r="I169" s="9" t="s">
        <v>594</v>
      </c>
      <c r="J169" s="10"/>
    </row>
    <row r="170" spans="1:10" ht="18" customHeight="1" x14ac:dyDescent="0.25">
      <c r="A170" s="4"/>
      <c r="B170" s="5">
        <v>618</v>
      </c>
      <c r="C170" s="6" t="str">
        <f>IFERROR(VLOOKUP(B170,[1]customers!$A:$B,2,0),"")</f>
        <v>Silgan Dispensing Systems(Cobra Plastics)</v>
      </c>
      <c r="D170" s="5" t="s">
        <v>595</v>
      </c>
      <c r="E170" s="5" t="s">
        <v>596</v>
      </c>
      <c r="F170" s="5"/>
      <c r="G170" s="5" t="s">
        <v>597</v>
      </c>
      <c r="H170" s="5" t="s">
        <v>598</v>
      </c>
      <c r="I170" s="5"/>
      <c r="J170" s="7"/>
    </row>
    <row r="171" spans="1:10" ht="18" customHeight="1" x14ac:dyDescent="0.25">
      <c r="A171" s="8"/>
      <c r="B171" s="9">
        <v>618</v>
      </c>
      <c r="C171" s="6" t="str">
        <f>IFERROR(VLOOKUP(B171,[1]customers!$A:$B,2,0),"")</f>
        <v>Silgan Dispensing Systems(Cobra Plastics)</v>
      </c>
      <c r="D171" s="9" t="s">
        <v>595</v>
      </c>
      <c r="E171" s="9" t="s">
        <v>599</v>
      </c>
      <c r="F171" s="9"/>
      <c r="G171" s="9" t="s">
        <v>600</v>
      </c>
      <c r="H171" s="9" t="s">
        <v>601</v>
      </c>
      <c r="I171" s="9"/>
      <c r="J171" s="10"/>
    </row>
    <row r="172" spans="1:10" ht="18" customHeight="1" x14ac:dyDescent="0.25">
      <c r="A172" s="4"/>
      <c r="B172" s="5">
        <v>618</v>
      </c>
      <c r="C172" s="6" t="str">
        <f>IFERROR(VLOOKUP(B172,[1]customers!$A:$B,2,0),"")</f>
        <v>Silgan Dispensing Systems(Cobra Plastics)</v>
      </c>
      <c r="D172" s="5" t="s">
        <v>595</v>
      </c>
      <c r="E172" s="5" t="s">
        <v>602</v>
      </c>
      <c r="F172" s="5"/>
      <c r="G172" s="5" t="s">
        <v>603</v>
      </c>
      <c r="H172" s="5"/>
      <c r="I172" s="5" t="s">
        <v>604</v>
      </c>
      <c r="J172" s="7"/>
    </row>
    <row r="173" spans="1:10" ht="18" customHeight="1" x14ac:dyDescent="0.25">
      <c r="A173" s="8"/>
      <c r="B173" s="9">
        <v>149</v>
      </c>
      <c r="C173" s="6" t="str">
        <f>IFERROR(VLOOKUP(B173,[1]customers!$A:$B,2,0),"")</f>
        <v>Cold Headed Fasteners</v>
      </c>
      <c r="D173" s="9" t="s">
        <v>605</v>
      </c>
      <c r="E173" s="9" t="s">
        <v>606</v>
      </c>
      <c r="F173" s="9"/>
      <c r="G173" s="9"/>
      <c r="H173" s="9" t="s">
        <v>607</v>
      </c>
      <c r="I173" s="9"/>
      <c r="J173" s="10"/>
    </row>
    <row r="174" spans="1:10" ht="18" customHeight="1" x14ac:dyDescent="0.25">
      <c r="A174" s="4"/>
      <c r="B174" s="5">
        <v>150</v>
      </c>
      <c r="C174" s="6" t="str">
        <f>IFERROR(VLOOKUP(B174,[1]customers!$A:$B,2,0),"")</f>
        <v>Coleman Spohn Corp</v>
      </c>
      <c r="D174" s="5" t="s">
        <v>608</v>
      </c>
      <c r="E174" s="5" t="s">
        <v>609</v>
      </c>
      <c r="F174" s="5"/>
      <c r="G174" s="5" t="s">
        <v>610</v>
      </c>
      <c r="H174" s="5"/>
      <c r="I174" s="5" t="s">
        <v>611</v>
      </c>
      <c r="J174" s="7"/>
    </row>
    <row r="175" spans="1:10" ht="18" customHeight="1" x14ac:dyDescent="0.25">
      <c r="A175" s="8"/>
      <c r="B175" s="9">
        <v>150</v>
      </c>
      <c r="C175" s="6" t="str">
        <f>IFERROR(VLOOKUP(B175,[1]customers!$A:$B,2,0),"")</f>
        <v>Coleman Spohn Corp</v>
      </c>
      <c r="D175" s="9" t="s">
        <v>608</v>
      </c>
      <c r="E175" s="9" t="s">
        <v>612</v>
      </c>
      <c r="F175" s="9"/>
      <c r="G175" s="9" t="s">
        <v>613</v>
      </c>
      <c r="H175" s="9"/>
      <c r="I175" s="9" t="s">
        <v>614</v>
      </c>
      <c r="J175" s="10"/>
    </row>
    <row r="176" spans="1:10" ht="18" customHeight="1" x14ac:dyDescent="0.25">
      <c r="A176" s="4"/>
      <c r="B176" s="5">
        <v>150</v>
      </c>
      <c r="C176" s="6" t="str">
        <f>IFERROR(VLOOKUP(B176,[1]customers!$A:$B,2,0),"")</f>
        <v>Coleman Spohn Corp</v>
      </c>
      <c r="D176" s="5" t="s">
        <v>608</v>
      </c>
      <c r="E176" s="5" t="s">
        <v>615</v>
      </c>
      <c r="F176" s="5"/>
      <c r="G176" s="5" t="s">
        <v>616</v>
      </c>
      <c r="H176" s="5" t="s">
        <v>617</v>
      </c>
      <c r="I176" s="5" t="s">
        <v>614</v>
      </c>
      <c r="J176" s="7"/>
    </row>
    <row r="177" spans="1:10" ht="18" customHeight="1" x14ac:dyDescent="0.25">
      <c r="A177" s="8"/>
      <c r="B177" s="9">
        <v>153</v>
      </c>
      <c r="C177" s="6" t="str">
        <f>IFERROR(VLOOKUP(B177,[1]customers!$A:$B,2,0),"")</f>
        <v>Columbia Pulp</v>
      </c>
      <c r="D177" s="9" t="s">
        <v>618</v>
      </c>
      <c r="E177" s="9" t="s">
        <v>619</v>
      </c>
      <c r="F177" s="9"/>
      <c r="G177" s="9" t="s">
        <v>620</v>
      </c>
      <c r="H177" s="9"/>
      <c r="I177" s="9" t="s">
        <v>621</v>
      </c>
      <c r="J177" s="10"/>
    </row>
    <row r="178" spans="1:10" ht="18" customHeight="1" x14ac:dyDescent="0.25">
      <c r="A178" s="8"/>
      <c r="B178" s="9">
        <v>154</v>
      </c>
      <c r="C178" s="6" t="str">
        <f>IFERROR(VLOOKUP(B178,[1]customers!$A:$B,2,0),"")</f>
        <v>Conduit Direct Group</v>
      </c>
      <c r="D178" s="9" t="s">
        <v>622</v>
      </c>
      <c r="E178" s="9" t="s">
        <v>623</v>
      </c>
      <c r="F178" s="9"/>
      <c r="G178" s="9" t="s">
        <v>624</v>
      </c>
      <c r="H178" s="9"/>
      <c r="I178" s="9" t="s">
        <v>625</v>
      </c>
      <c r="J178" s="10"/>
    </row>
    <row r="179" spans="1:10" ht="18" customHeight="1" x14ac:dyDescent="0.25">
      <c r="A179" s="8"/>
      <c r="B179" s="9">
        <v>155</v>
      </c>
      <c r="C179" s="6" t="str">
        <f>IFERROR(VLOOKUP(B179,[1]customers!$A:$B,2,0),"")</f>
        <v>Cooper Tire</v>
      </c>
      <c r="D179" s="9" t="s">
        <v>626</v>
      </c>
      <c r="E179" s="9" t="s">
        <v>627</v>
      </c>
      <c r="F179" s="9"/>
      <c r="G179" s="9" t="s">
        <v>628</v>
      </c>
      <c r="H179" s="9"/>
      <c r="I179" s="9" t="s">
        <v>629</v>
      </c>
      <c r="J179" s="10"/>
    </row>
    <row r="180" spans="1:10" ht="18" customHeight="1" x14ac:dyDescent="0.25">
      <c r="A180" s="4"/>
      <c r="B180" s="5">
        <v>155</v>
      </c>
      <c r="C180" s="6" t="str">
        <f>IFERROR(VLOOKUP(B180,[1]customers!$A:$B,2,0),"")</f>
        <v>Cooper Tire</v>
      </c>
      <c r="D180" s="5" t="s">
        <v>626</v>
      </c>
      <c r="E180" s="5" t="s">
        <v>630</v>
      </c>
      <c r="F180" s="5"/>
      <c r="G180" s="5" t="s">
        <v>631</v>
      </c>
      <c r="H180" s="5"/>
      <c r="I180" s="5" t="s">
        <v>632</v>
      </c>
      <c r="J180" s="7"/>
    </row>
    <row r="181" spans="1:10" ht="18" customHeight="1" x14ac:dyDescent="0.25">
      <c r="A181" s="8"/>
      <c r="B181" s="9">
        <v>155</v>
      </c>
      <c r="C181" s="6" t="str">
        <f>IFERROR(VLOOKUP(B181,[1]customers!$A:$B,2,0),"")</f>
        <v>Cooper Tire</v>
      </c>
      <c r="D181" s="9" t="s">
        <v>633</v>
      </c>
      <c r="E181" s="9" t="s">
        <v>634</v>
      </c>
      <c r="F181" s="9"/>
      <c r="G181" s="9" t="s">
        <v>635</v>
      </c>
      <c r="H181" s="9" t="s">
        <v>636</v>
      </c>
      <c r="I181" s="9"/>
      <c r="J181" s="10"/>
    </row>
    <row r="182" spans="1:10" ht="18" customHeight="1" x14ac:dyDescent="0.25">
      <c r="A182" s="4"/>
      <c r="B182" s="5">
        <v>155</v>
      </c>
      <c r="C182" s="6" t="str">
        <f>IFERROR(VLOOKUP(B182,[1]customers!$A:$B,2,0),"")</f>
        <v>Cooper Tire</v>
      </c>
      <c r="D182" s="5" t="s">
        <v>633</v>
      </c>
      <c r="E182" s="5" t="s">
        <v>637</v>
      </c>
      <c r="F182" s="5"/>
      <c r="G182" s="5" t="s">
        <v>638</v>
      </c>
      <c r="H182" s="5" t="s">
        <v>639</v>
      </c>
      <c r="I182" s="5" t="s">
        <v>640</v>
      </c>
      <c r="J182" s="7"/>
    </row>
    <row r="183" spans="1:10" ht="18" customHeight="1" x14ac:dyDescent="0.25">
      <c r="A183" s="8"/>
      <c r="B183" s="9">
        <v>155</v>
      </c>
      <c r="C183" s="6" t="str">
        <f>IFERROR(VLOOKUP(B183,[1]customers!$A:$B,2,0),"")</f>
        <v>Cooper Tire</v>
      </c>
      <c r="D183" s="9" t="s">
        <v>633</v>
      </c>
      <c r="E183" s="9" t="s">
        <v>641</v>
      </c>
      <c r="F183" s="9"/>
      <c r="G183" s="9"/>
      <c r="H183" s="9"/>
      <c r="I183" s="9" t="s">
        <v>642</v>
      </c>
      <c r="J183" s="10"/>
    </row>
    <row r="184" spans="1:10" ht="18" customHeight="1" x14ac:dyDescent="0.25">
      <c r="A184" s="4"/>
      <c r="B184" s="5">
        <v>155</v>
      </c>
      <c r="C184" s="6" t="str">
        <f>IFERROR(VLOOKUP(B184,[1]customers!$A:$B,2,0),"")</f>
        <v>Cooper Tire</v>
      </c>
      <c r="D184" s="5" t="s">
        <v>633</v>
      </c>
      <c r="E184" s="5" t="s">
        <v>643</v>
      </c>
      <c r="F184" s="5"/>
      <c r="G184" s="5" t="s">
        <v>644</v>
      </c>
      <c r="H184" s="5"/>
      <c r="I184" s="5" t="s">
        <v>642</v>
      </c>
      <c r="J184" s="7"/>
    </row>
    <row r="185" spans="1:10" ht="18" customHeight="1" x14ac:dyDescent="0.25">
      <c r="A185" s="8"/>
      <c r="B185" s="9">
        <v>155</v>
      </c>
      <c r="C185" s="6" t="str">
        <f>IFERROR(VLOOKUP(B185,[1]customers!$A:$B,2,0),"")</f>
        <v>Cooper Tire</v>
      </c>
      <c r="D185" s="9" t="s">
        <v>633</v>
      </c>
      <c r="E185" s="9" t="s">
        <v>645</v>
      </c>
      <c r="F185" s="9"/>
      <c r="G185" s="9" t="s">
        <v>646</v>
      </c>
      <c r="H185" s="9" t="s">
        <v>647</v>
      </c>
      <c r="I185" s="9" t="s">
        <v>648</v>
      </c>
      <c r="J185" s="10"/>
    </row>
    <row r="186" spans="1:10" ht="18" customHeight="1" x14ac:dyDescent="0.25">
      <c r="A186" s="4"/>
      <c r="B186" s="5">
        <v>155</v>
      </c>
      <c r="C186" s="6" t="str">
        <f>IFERROR(VLOOKUP(B186,[1]customers!$A:$B,2,0),"")</f>
        <v>Cooper Tire</v>
      </c>
      <c r="D186" s="5" t="s">
        <v>633</v>
      </c>
      <c r="E186" s="5" t="s">
        <v>649</v>
      </c>
      <c r="F186" s="5"/>
      <c r="G186" s="5" t="s">
        <v>650</v>
      </c>
      <c r="H186" s="5" t="s">
        <v>651</v>
      </c>
      <c r="I186" s="5" t="s">
        <v>642</v>
      </c>
      <c r="J186" s="7"/>
    </row>
    <row r="187" spans="1:10" ht="18" customHeight="1" x14ac:dyDescent="0.25">
      <c r="A187" s="8"/>
      <c r="B187" s="9">
        <v>155</v>
      </c>
      <c r="C187" s="6" t="str">
        <f>IFERROR(VLOOKUP(B187,[1]customers!$A:$B,2,0),"")</f>
        <v>Cooper Tire</v>
      </c>
      <c r="D187" s="9" t="s">
        <v>633</v>
      </c>
      <c r="E187" s="9" t="s">
        <v>652</v>
      </c>
      <c r="F187" s="9"/>
      <c r="G187" s="9" t="s">
        <v>653</v>
      </c>
      <c r="H187" s="9"/>
      <c r="I187" s="9" t="s">
        <v>654</v>
      </c>
      <c r="J187" s="10"/>
    </row>
    <row r="188" spans="1:10" ht="18" customHeight="1" x14ac:dyDescent="0.25">
      <c r="A188" s="4"/>
      <c r="B188" s="5">
        <v>155</v>
      </c>
      <c r="C188" s="6" t="str">
        <f>IFERROR(VLOOKUP(B188,[1]customers!$A:$B,2,0),"")</f>
        <v>Cooper Tire</v>
      </c>
      <c r="D188" s="5" t="s">
        <v>633</v>
      </c>
      <c r="E188" s="5" t="s">
        <v>655</v>
      </c>
      <c r="F188" s="5"/>
      <c r="G188" s="5" t="s">
        <v>656</v>
      </c>
      <c r="H188" s="5"/>
      <c r="I188" s="5" t="s">
        <v>642</v>
      </c>
      <c r="J188" s="7"/>
    </row>
    <row r="189" spans="1:10" ht="18" customHeight="1" x14ac:dyDescent="0.25">
      <c r="A189" s="8"/>
      <c r="B189" s="9">
        <v>155</v>
      </c>
      <c r="C189" s="6" t="str">
        <f>IFERROR(VLOOKUP(B189,[1]customers!$A:$B,2,0),"")</f>
        <v>Cooper Tire</v>
      </c>
      <c r="D189" s="9" t="s">
        <v>633</v>
      </c>
      <c r="E189" s="9" t="s">
        <v>657</v>
      </c>
      <c r="F189" s="9"/>
      <c r="G189" s="9" t="s">
        <v>658</v>
      </c>
      <c r="H189" s="9"/>
      <c r="I189" s="9" t="s">
        <v>642</v>
      </c>
      <c r="J189" s="10"/>
    </row>
    <row r="190" spans="1:10" ht="18" customHeight="1" x14ac:dyDescent="0.25">
      <c r="A190" s="4"/>
      <c r="B190" s="5">
        <v>155</v>
      </c>
      <c r="C190" s="6" t="str">
        <f>IFERROR(VLOOKUP(B190,[1]customers!$A:$B,2,0),"")</f>
        <v>Cooper Tire</v>
      </c>
      <c r="D190" s="5" t="s">
        <v>633</v>
      </c>
      <c r="E190" s="5" t="s">
        <v>659</v>
      </c>
      <c r="F190" s="5"/>
      <c r="G190" s="5" t="s">
        <v>660</v>
      </c>
      <c r="H190" s="5"/>
      <c r="I190" s="5" t="s">
        <v>642</v>
      </c>
      <c r="J190" s="7"/>
    </row>
    <row r="191" spans="1:10" ht="18" customHeight="1" x14ac:dyDescent="0.25">
      <c r="A191" s="8"/>
      <c r="B191" s="9">
        <v>155</v>
      </c>
      <c r="C191" s="6" t="str">
        <f>IFERROR(VLOOKUP(B191,[1]customers!$A:$B,2,0),"")</f>
        <v>Cooper Tire</v>
      </c>
      <c r="D191" s="9" t="s">
        <v>633</v>
      </c>
      <c r="E191" s="9" t="s">
        <v>661</v>
      </c>
      <c r="F191" s="9"/>
      <c r="G191" s="9" t="s">
        <v>662</v>
      </c>
      <c r="H191" s="9" t="s">
        <v>663</v>
      </c>
      <c r="I191" s="9" t="s">
        <v>640</v>
      </c>
      <c r="J191" s="10"/>
    </row>
    <row r="192" spans="1:10" ht="18" customHeight="1" x14ac:dyDescent="0.25">
      <c r="A192" s="4"/>
      <c r="B192" s="5">
        <v>155</v>
      </c>
      <c r="C192" s="6" t="str">
        <f>IFERROR(VLOOKUP(B192,[1]customers!$A:$B,2,0),"")</f>
        <v>Cooper Tire</v>
      </c>
      <c r="D192" s="5" t="s">
        <v>633</v>
      </c>
      <c r="E192" s="5" t="s">
        <v>664</v>
      </c>
      <c r="F192" s="5"/>
      <c r="G192" s="5" t="s">
        <v>665</v>
      </c>
      <c r="H192" s="5" t="s">
        <v>666</v>
      </c>
      <c r="I192" s="5" t="s">
        <v>667</v>
      </c>
      <c r="J192" s="7"/>
    </row>
    <row r="193" spans="1:10" ht="18" customHeight="1" x14ac:dyDescent="0.25">
      <c r="A193" s="8"/>
      <c r="B193" s="9">
        <v>155</v>
      </c>
      <c r="C193" s="6" t="str">
        <f>IFERROR(VLOOKUP(B193,[1]customers!$A:$B,2,0),"")</f>
        <v>Cooper Tire</v>
      </c>
      <c r="D193" s="9" t="s">
        <v>633</v>
      </c>
      <c r="E193" s="9" t="s">
        <v>668</v>
      </c>
      <c r="F193" s="9"/>
      <c r="G193" s="9" t="s">
        <v>669</v>
      </c>
      <c r="H193" s="9" t="s">
        <v>670</v>
      </c>
      <c r="I193" s="9" t="s">
        <v>642</v>
      </c>
      <c r="J193" s="10"/>
    </row>
    <row r="194" spans="1:10" ht="18" customHeight="1" x14ac:dyDescent="0.25">
      <c r="A194" s="4"/>
      <c r="B194" s="5">
        <v>155</v>
      </c>
      <c r="C194" s="6" t="str">
        <f>IFERROR(VLOOKUP(B194,[1]customers!$A:$B,2,0),"")</f>
        <v>Cooper Tire</v>
      </c>
      <c r="D194" s="5" t="s">
        <v>633</v>
      </c>
      <c r="E194" s="5" t="s">
        <v>671</v>
      </c>
      <c r="F194" s="5"/>
      <c r="G194" s="5" t="s">
        <v>672</v>
      </c>
      <c r="H194" s="5" t="s">
        <v>673</v>
      </c>
      <c r="I194" s="5" t="s">
        <v>642</v>
      </c>
      <c r="J194" s="7"/>
    </row>
    <row r="195" spans="1:10" ht="18" customHeight="1" x14ac:dyDescent="0.25">
      <c r="A195" s="8"/>
      <c r="B195" s="9">
        <v>155</v>
      </c>
      <c r="C195" s="6" t="str">
        <f>IFERROR(VLOOKUP(B195,[1]customers!$A:$B,2,0),"")</f>
        <v>Cooper Tire</v>
      </c>
      <c r="D195" s="9" t="s">
        <v>633</v>
      </c>
      <c r="E195" s="9" t="s">
        <v>674</v>
      </c>
      <c r="F195" s="9"/>
      <c r="G195" s="9" t="s">
        <v>675</v>
      </c>
      <c r="H195" s="9" t="s">
        <v>676</v>
      </c>
      <c r="I195" s="9" t="s">
        <v>677</v>
      </c>
      <c r="J195" s="10"/>
    </row>
    <row r="196" spans="1:10" ht="18" customHeight="1" x14ac:dyDescent="0.25">
      <c r="A196" s="4"/>
      <c r="B196" s="5">
        <v>155</v>
      </c>
      <c r="C196" s="6" t="str">
        <f>IFERROR(VLOOKUP(B196,[1]customers!$A:$B,2,0),"")</f>
        <v>Cooper Tire</v>
      </c>
      <c r="D196" s="5" t="s">
        <v>633</v>
      </c>
      <c r="E196" s="5" t="s">
        <v>678</v>
      </c>
      <c r="F196" s="5"/>
      <c r="G196" s="5" t="s">
        <v>679</v>
      </c>
      <c r="H196" s="5" t="s">
        <v>680</v>
      </c>
      <c r="I196" s="5" t="s">
        <v>681</v>
      </c>
      <c r="J196" s="7"/>
    </row>
    <row r="197" spans="1:10" ht="18" customHeight="1" x14ac:dyDescent="0.25">
      <c r="A197" s="8"/>
      <c r="B197" s="9">
        <v>155</v>
      </c>
      <c r="C197" s="6" t="str">
        <f>IFERROR(VLOOKUP(B197,[1]customers!$A:$B,2,0),"")</f>
        <v>Cooper Tire</v>
      </c>
      <c r="D197" s="9" t="s">
        <v>682</v>
      </c>
      <c r="E197" s="9" t="s">
        <v>683</v>
      </c>
      <c r="F197" s="9"/>
      <c r="G197" s="9" t="s">
        <v>684</v>
      </c>
      <c r="H197" s="9" t="s">
        <v>685</v>
      </c>
      <c r="I197" s="9" t="s">
        <v>686</v>
      </c>
      <c r="J197" s="10"/>
    </row>
    <row r="198" spans="1:10" ht="18" customHeight="1" x14ac:dyDescent="0.25">
      <c r="A198" s="4"/>
      <c r="B198" s="5">
        <v>155</v>
      </c>
      <c r="C198" s="6" t="str">
        <f>IFERROR(VLOOKUP(B198,[1]customers!$A:$B,2,0),"")</f>
        <v>Cooper Tire</v>
      </c>
      <c r="D198" s="5" t="s">
        <v>682</v>
      </c>
      <c r="E198" s="5" t="s">
        <v>687</v>
      </c>
      <c r="F198" s="5"/>
      <c r="G198" s="5"/>
      <c r="H198" s="5"/>
      <c r="I198" s="5" t="s">
        <v>688</v>
      </c>
      <c r="J198" s="7"/>
    </row>
    <row r="199" spans="1:10" ht="18" customHeight="1" x14ac:dyDescent="0.25">
      <c r="A199" s="8"/>
      <c r="B199" s="9">
        <v>155</v>
      </c>
      <c r="C199" s="6" t="str">
        <f>IFERROR(VLOOKUP(B199,[1]customers!$A:$B,2,0),"")</f>
        <v>Cooper Tire</v>
      </c>
      <c r="D199" s="9" t="s">
        <v>682</v>
      </c>
      <c r="E199" s="9" t="s">
        <v>689</v>
      </c>
      <c r="F199" s="9"/>
      <c r="G199" s="9" t="s">
        <v>690</v>
      </c>
      <c r="H199" s="9" t="s">
        <v>691</v>
      </c>
      <c r="I199" s="9" t="s">
        <v>692</v>
      </c>
      <c r="J199" s="10"/>
    </row>
    <row r="200" spans="1:10" ht="18" customHeight="1" x14ac:dyDescent="0.25">
      <c r="A200" s="4"/>
      <c r="B200" s="5">
        <v>155</v>
      </c>
      <c r="C200" s="6" t="str">
        <f>IFERROR(VLOOKUP(B200,[1]customers!$A:$B,2,0),"")</f>
        <v>Cooper Tire</v>
      </c>
      <c r="D200" s="5" t="s">
        <v>682</v>
      </c>
      <c r="E200" s="5" t="s">
        <v>693</v>
      </c>
      <c r="F200" s="5"/>
      <c r="G200" s="5" t="s">
        <v>694</v>
      </c>
      <c r="H200" s="5"/>
      <c r="I200" s="5" t="s">
        <v>695</v>
      </c>
      <c r="J200" s="7"/>
    </row>
    <row r="201" spans="1:10" ht="18" customHeight="1" x14ac:dyDescent="0.25">
      <c r="A201" s="8"/>
      <c r="B201" s="9">
        <v>155</v>
      </c>
      <c r="C201" s="6" t="str">
        <f>IFERROR(VLOOKUP(B201,[1]customers!$A:$B,2,0),"")</f>
        <v>Cooper Tire</v>
      </c>
      <c r="D201" s="9" t="s">
        <v>682</v>
      </c>
      <c r="E201" s="9" t="s">
        <v>696</v>
      </c>
      <c r="F201" s="9"/>
      <c r="G201" s="9" t="s">
        <v>697</v>
      </c>
      <c r="H201" s="9"/>
      <c r="I201" s="9" t="s">
        <v>698</v>
      </c>
      <c r="J201" s="10"/>
    </row>
    <row r="202" spans="1:10" ht="18" customHeight="1" x14ac:dyDescent="0.25">
      <c r="A202" s="4"/>
      <c r="B202" s="5">
        <v>155</v>
      </c>
      <c r="C202" s="6" t="str">
        <f>IFERROR(VLOOKUP(B202,[1]customers!$A:$B,2,0),"")</f>
        <v>Cooper Tire</v>
      </c>
      <c r="D202" s="5" t="s">
        <v>682</v>
      </c>
      <c r="E202" s="5" t="s">
        <v>699</v>
      </c>
      <c r="F202" s="5"/>
      <c r="G202" s="5" t="s">
        <v>700</v>
      </c>
      <c r="H202" s="5" t="s">
        <v>701</v>
      </c>
      <c r="I202" s="5"/>
      <c r="J202" s="7"/>
    </row>
    <row r="203" spans="1:10" ht="18" customHeight="1" x14ac:dyDescent="0.25">
      <c r="A203" s="8"/>
      <c r="B203" s="9">
        <v>155</v>
      </c>
      <c r="C203" s="6" t="str">
        <f>IFERROR(VLOOKUP(B203,[1]customers!$A:$B,2,0),"")</f>
        <v>Cooper Tire</v>
      </c>
      <c r="D203" s="9" t="s">
        <v>702</v>
      </c>
      <c r="E203" s="9" t="s">
        <v>703</v>
      </c>
      <c r="F203" s="9"/>
      <c r="G203" s="9" t="s">
        <v>704</v>
      </c>
      <c r="H203" s="9" t="s">
        <v>705</v>
      </c>
      <c r="I203" s="9" t="s">
        <v>706</v>
      </c>
      <c r="J203" s="10"/>
    </row>
    <row r="204" spans="1:10" ht="18" customHeight="1" x14ac:dyDescent="0.25">
      <c r="A204" s="4"/>
      <c r="B204" s="5">
        <v>155</v>
      </c>
      <c r="C204" s="6" t="str">
        <f>IFERROR(VLOOKUP(B204,[1]customers!$A:$B,2,0),"")</f>
        <v>Cooper Tire</v>
      </c>
      <c r="D204" s="5" t="s">
        <v>702</v>
      </c>
      <c r="E204" s="5" t="s">
        <v>707</v>
      </c>
      <c r="F204" s="5"/>
      <c r="G204" s="5" t="s">
        <v>708</v>
      </c>
      <c r="H204" s="5" t="s">
        <v>709</v>
      </c>
      <c r="I204" s="5" t="s">
        <v>710</v>
      </c>
      <c r="J204" s="7"/>
    </row>
    <row r="205" spans="1:10" ht="18" customHeight="1" x14ac:dyDescent="0.25">
      <c r="A205" s="8"/>
      <c r="B205" s="9">
        <v>155</v>
      </c>
      <c r="C205" s="6" t="str">
        <f>IFERROR(VLOOKUP(B205,[1]customers!$A:$B,2,0),"")</f>
        <v>Cooper Tire</v>
      </c>
      <c r="D205" s="9" t="s">
        <v>702</v>
      </c>
      <c r="E205" s="9" t="s">
        <v>711</v>
      </c>
      <c r="F205" s="9"/>
      <c r="G205" s="9"/>
      <c r="H205" s="9"/>
      <c r="I205" s="9" t="s">
        <v>712</v>
      </c>
      <c r="J205" s="10"/>
    </row>
    <row r="206" spans="1:10" ht="18" customHeight="1" x14ac:dyDescent="0.25">
      <c r="A206" s="4"/>
      <c r="B206" s="5">
        <v>155</v>
      </c>
      <c r="C206" s="6" t="str">
        <f>IFERROR(VLOOKUP(B206,[1]customers!$A:$B,2,0),"")</f>
        <v>Cooper Tire</v>
      </c>
      <c r="D206" s="5" t="s">
        <v>702</v>
      </c>
      <c r="E206" s="5" t="s">
        <v>713</v>
      </c>
      <c r="F206" s="5"/>
      <c r="G206" s="5"/>
      <c r="H206" s="5"/>
      <c r="I206" s="5" t="s">
        <v>714</v>
      </c>
      <c r="J206" s="7"/>
    </row>
    <row r="207" spans="1:10" ht="18" customHeight="1" x14ac:dyDescent="0.25">
      <c r="A207" s="8"/>
      <c r="B207" s="9">
        <v>156</v>
      </c>
      <c r="C207" s="6" t="str">
        <f>IFERROR(VLOOKUP(B207,[1]customers!$A:$B,2,0),"")</f>
        <v>Core Molding Technologies</v>
      </c>
      <c r="D207" s="9" t="s">
        <v>715</v>
      </c>
      <c r="E207" s="9" t="s">
        <v>716</v>
      </c>
      <c r="F207" s="9"/>
      <c r="G207" s="9" t="s">
        <v>717</v>
      </c>
      <c r="H207" s="9"/>
      <c r="I207" s="9" t="s">
        <v>718</v>
      </c>
      <c r="J207" s="10"/>
    </row>
    <row r="208" spans="1:10" ht="18" customHeight="1" x14ac:dyDescent="0.25">
      <c r="A208" s="4"/>
      <c r="B208" s="5">
        <v>157</v>
      </c>
      <c r="C208" s="6" t="str">
        <f>IFERROR(VLOOKUP(B208,[1]customers!$A:$B,2,0),"")</f>
        <v>Cornwell Quality Tools Co</v>
      </c>
      <c r="D208" s="5" t="s">
        <v>719</v>
      </c>
      <c r="E208" s="5" t="s">
        <v>720</v>
      </c>
      <c r="F208" s="5"/>
      <c r="G208" s="5" t="s">
        <v>721</v>
      </c>
      <c r="H208" s="5"/>
      <c r="I208" s="5" t="s">
        <v>722</v>
      </c>
      <c r="J208" s="7"/>
    </row>
    <row r="209" spans="1:10" ht="18" customHeight="1" x14ac:dyDescent="0.25">
      <c r="A209" s="8"/>
      <c r="B209" s="9">
        <v>157</v>
      </c>
      <c r="C209" s="6" t="str">
        <f>IFERROR(VLOOKUP(B209,[1]customers!$A:$B,2,0),"")</f>
        <v>Cornwell Quality Tools Co</v>
      </c>
      <c r="D209" s="9" t="s">
        <v>723</v>
      </c>
      <c r="E209" s="9" t="s">
        <v>724</v>
      </c>
      <c r="F209" s="9"/>
      <c r="G209" s="9" t="s">
        <v>725</v>
      </c>
      <c r="H209" s="9"/>
      <c r="I209" s="9" t="s">
        <v>726</v>
      </c>
      <c r="J209" s="10"/>
    </row>
    <row r="210" spans="1:10" ht="18" customHeight="1" x14ac:dyDescent="0.25">
      <c r="A210" s="4"/>
      <c r="B210" s="5">
        <v>157</v>
      </c>
      <c r="C210" s="6" t="str">
        <f>IFERROR(VLOOKUP(B210,[1]customers!$A:$B,2,0),"")</f>
        <v>Cornwell Quality Tools Co</v>
      </c>
      <c r="D210" s="5" t="s">
        <v>723</v>
      </c>
      <c r="E210" s="5" t="s">
        <v>720</v>
      </c>
      <c r="F210" s="5"/>
      <c r="G210" s="5" t="s">
        <v>727</v>
      </c>
      <c r="H210" s="5"/>
      <c r="I210" s="5" t="s">
        <v>722</v>
      </c>
      <c r="J210" s="7"/>
    </row>
    <row r="211" spans="1:10" ht="18" customHeight="1" x14ac:dyDescent="0.25">
      <c r="A211" s="8"/>
      <c r="B211" s="9">
        <v>158</v>
      </c>
      <c r="C211" s="6" t="str">
        <f>IFERROR(VLOOKUP(B211,[1]customers!$A:$B,2,0),"")</f>
        <v>Coronado Steel Co</v>
      </c>
      <c r="D211" s="9" t="s">
        <v>728</v>
      </c>
      <c r="E211" s="9" t="s">
        <v>729</v>
      </c>
      <c r="F211" s="9"/>
      <c r="G211" s="9" t="s">
        <v>730</v>
      </c>
      <c r="H211" s="9"/>
      <c r="I211" s="9" t="s">
        <v>731</v>
      </c>
      <c r="J211" s="10"/>
    </row>
    <row r="212" spans="1:10" ht="18" customHeight="1" x14ac:dyDescent="0.25">
      <c r="A212" s="4"/>
      <c r="B212" s="5">
        <v>159</v>
      </c>
      <c r="C212" s="6" t="str">
        <f>IFERROR(VLOOKUP(B212,[1]customers!$A:$B,2,0),"")</f>
        <v>Corporate Electric Company, LLC</v>
      </c>
      <c r="D212" s="5" t="s">
        <v>732</v>
      </c>
      <c r="E212" s="5" t="s">
        <v>733</v>
      </c>
      <c r="F212" s="5"/>
      <c r="G212" s="5" t="s">
        <v>734</v>
      </c>
      <c r="H212" s="5" t="s">
        <v>735</v>
      </c>
      <c r="I212" s="5" t="s">
        <v>736</v>
      </c>
      <c r="J212" s="7"/>
    </row>
    <row r="213" spans="1:10" ht="18" customHeight="1" x14ac:dyDescent="0.25">
      <c r="A213" s="4"/>
      <c r="B213" s="5">
        <v>162</v>
      </c>
      <c r="C213" s="6" t="str">
        <f>IFERROR(VLOOKUP(B213,[1]customers!$A:$B,2,0),"")</f>
        <v>Crafco Inc</v>
      </c>
      <c r="D213" s="5" t="s">
        <v>737</v>
      </c>
      <c r="E213" s="5" t="s">
        <v>738</v>
      </c>
      <c r="F213" s="5"/>
      <c r="G213" s="5" t="s">
        <v>739</v>
      </c>
      <c r="H213" s="5" t="s">
        <v>740</v>
      </c>
      <c r="I213" s="5" t="s">
        <v>741</v>
      </c>
      <c r="J213" s="7"/>
    </row>
    <row r="214" spans="1:10" ht="18" customHeight="1" x14ac:dyDescent="0.25">
      <c r="A214" s="8"/>
      <c r="B214" s="9">
        <v>162</v>
      </c>
      <c r="C214" s="6" t="str">
        <f>IFERROR(VLOOKUP(B214,[1]customers!$A:$B,2,0),"")</f>
        <v>Crafco Inc</v>
      </c>
      <c r="D214" s="9" t="s">
        <v>737</v>
      </c>
      <c r="E214" s="9" t="s">
        <v>742</v>
      </c>
      <c r="F214" s="9"/>
      <c r="G214" s="9" t="s">
        <v>743</v>
      </c>
      <c r="H214" s="9" t="s">
        <v>744</v>
      </c>
      <c r="I214" s="9" t="s">
        <v>745</v>
      </c>
      <c r="J214" s="10"/>
    </row>
    <row r="215" spans="1:10" ht="18" customHeight="1" x14ac:dyDescent="0.25">
      <c r="A215" s="4"/>
      <c r="B215" s="5">
        <v>163</v>
      </c>
      <c r="C215" s="6" t="str">
        <f>IFERROR(VLOOKUP(B215,[1]customers!$A:$B,2,0),"")</f>
        <v>Creative Carbide</v>
      </c>
      <c r="D215" s="5" t="s">
        <v>746</v>
      </c>
      <c r="E215" s="5" t="s">
        <v>747</v>
      </c>
      <c r="F215" s="5"/>
      <c r="G215" s="5"/>
      <c r="H215" s="5" t="s">
        <v>748</v>
      </c>
      <c r="I215" s="5"/>
      <c r="J215" s="7"/>
    </row>
    <row r="216" spans="1:10" ht="18" customHeight="1" x14ac:dyDescent="0.25">
      <c r="A216" s="8"/>
      <c r="B216" s="9">
        <v>165</v>
      </c>
      <c r="C216" s="6" t="str">
        <f>IFERROR(VLOOKUP(B216,[1]customers!$A:$B,2,0),"")</f>
        <v>CREO Group</v>
      </c>
      <c r="D216" s="9" t="s">
        <v>749</v>
      </c>
      <c r="E216" s="9" t="s">
        <v>750</v>
      </c>
      <c r="F216" s="9"/>
      <c r="G216" s="9" t="s">
        <v>751</v>
      </c>
      <c r="H216" s="9"/>
      <c r="I216" s="9" t="s">
        <v>752</v>
      </c>
      <c r="J216" s="10"/>
    </row>
    <row r="217" spans="1:10" ht="18" customHeight="1" x14ac:dyDescent="0.25">
      <c r="A217" s="4"/>
      <c r="B217" s="5">
        <v>166</v>
      </c>
      <c r="C217" s="6" t="str">
        <f>IFERROR(VLOOKUP(B217,[1]customers!$A:$B,2,0),"")</f>
        <v>Criterion Machinery Inc.</v>
      </c>
      <c r="D217" s="5" t="s">
        <v>753</v>
      </c>
      <c r="E217" s="5" t="s">
        <v>754</v>
      </c>
      <c r="F217" s="5"/>
      <c r="G217" s="5" t="s">
        <v>755</v>
      </c>
      <c r="H217" s="5" t="s">
        <v>756</v>
      </c>
      <c r="I217" s="5">
        <v>2165730311</v>
      </c>
      <c r="J217" s="7"/>
    </row>
    <row r="218" spans="1:10" ht="18" customHeight="1" x14ac:dyDescent="0.25">
      <c r="A218" s="8"/>
      <c r="B218" s="9">
        <v>168</v>
      </c>
      <c r="C218" s="6" t="str">
        <f>IFERROR(VLOOKUP(B218,[1]customers!$A:$B,2,0),"")</f>
        <v>Crown Composites Tooling</v>
      </c>
      <c r="D218" s="9" t="s">
        <v>757</v>
      </c>
      <c r="E218" s="9" t="s">
        <v>758</v>
      </c>
      <c r="F218" s="9"/>
      <c r="G218" s="9" t="s">
        <v>759</v>
      </c>
      <c r="H218" s="9"/>
      <c r="I218" s="9" t="s">
        <v>760</v>
      </c>
      <c r="J218" s="10"/>
    </row>
    <row r="219" spans="1:10" ht="18" customHeight="1" x14ac:dyDescent="0.25">
      <c r="A219" s="8"/>
      <c r="B219" s="9">
        <v>170</v>
      </c>
      <c r="C219" s="6" t="str">
        <f>IFERROR(VLOOKUP(B219,[1]customers!$A:$B,2,0),"")</f>
        <v>Curbell Plastics</v>
      </c>
      <c r="D219" s="9" t="s">
        <v>761</v>
      </c>
      <c r="E219" s="9" t="s">
        <v>762</v>
      </c>
      <c r="F219" s="9"/>
      <c r="G219" s="9" t="s">
        <v>763</v>
      </c>
      <c r="H219" s="9"/>
      <c r="I219" s="9" t="s">
        <v>764</v>
      </c>
      <c r="J219" s="10"/>
    </row>
    <row r="220" spans="1:10" ht="18" customHeight="1" x14ac:dyDescent="0.25">
      <c r="A220" s="4"/>
      <c r="B220" s="5">
        <v>170</v>
      </c>
      <c r="C220" s="6" t="str">
        <f>IFERROR(VLOOKUP(B220,[1]customers!$A:$B,2,0),"")</f>
        <v>Curbell Plastics</v>
      </c>
      <c r="D220" s="5" t="s">
        <v>761</v>
      </c>
      <c r="E220" s="5" t="s">
        <v>762</v>
      </c>
      <c r="F220" s="5"/>
      <c r="G220" s="5" t="s">
        <v>763</v>
      </c>
      <c r="H220" s="5"/>
      <c r="I220" s="5" t="s">
        <v>765</v>
      </c>
      <c r="J220" s="7"/>
    </row>
    <row r="221" spans="1:10" ht="18" customHeight="1" x14ac:dyDescent="0.25">
      <c r="A221" s="8"/>
      <c r="B221" s="9">
        <v>171</v>
      </c>
      <c r="C221" s="6" t="str">
        <f>IFERROR(VLOOKUP(B221,[1]customers!$A:$B,2,0),"")</f>
        <v>Curtis-Wright Inc</v>
      </c>
      <c r="D221" s="9" t="s">
        <v>766</v>
      </c>
      <c r="E221" s="9" t="s">
        <v>767</v>
      </c>
      <c r="F221" s="9"/>
      <c r="G221" s="9" t="s">
        <v>768</v>
      </c>
      <c r="H221" s="9"/>
      <c r="I221" s="9" t="s">
        <v>769</v>
      </c>
      <c r="J221" s="10"/>
    </row>
    <row r="222" spans="1:10" ht="18" customHeight="1" x14ac:dyDescent="0.25">
      <c r="A222" s="4"/>
      <c r="B222" s="5">
        <v>172</v>
      </c>
      <c r="C222" s="6" t="str">
        <f>IFERROR(VLOOKUP(B222,[1]customers!$A:$B,2,0),"")</f>
        <v>Custom Maintenance LLC</v>
      </c>
      <c r="D222" s="5" t="s">
        <v>770</v>
      </c>
      <c r="E222" s="5" t="s">
        <v>771</v>
      </c>
      <c r="F222" s="5"/>
      <c r="G222" s="5" t="s">
        <v>772</v>
      </c>
      <c r="H222" s="5"/>
      <c r="I222" s="5" t="s">
        <v>773</v>
      </c>
      <c r="J222" s="7"/>
    </row>
    <row r="223" spans="1:10" ht="18" customHeight="1" x14ac:dyDescent="0.25">
      <c r="A223" s="8"/>
      <c r="B223" s="9">
        <v>172</v>
      </c>
      <c r="C223" s="6" t="str">
        <f>IFERROR(VLOOKUP(B223,[1]customers!$A:$B,2,0),"")</f>
        <v>Custom Maintenance LLC</v>
      </c>
      <c r="D223" s="9" t="s">
        <v>774</v>
      </c>
      <c r="E223" s="9" t="s">
        <v>771</v>
      </c>
      <c r="F223" s="9"/>
      <c r="G223" s="9" t="s">
        <v>772</v>
      </c>
      <c r="H223" s="9"/>
      <c r="I223" s="9" t="s">
        <v>773</v>
      </c>
      <c r="J223" s="10"/>
    </row>
    <row r="224" spans="1:10" ht="18" customHeight="1" x14ac:dyDescent="0.25">
      <c r="A224" s="4"/>
      <c r="B224" s="5">
        <v>173</v>
      </c>
      <c r="C224" s="6" t="str">
        <f>IFERROR(VLOOKUP(B224,[1]customers!$A:$B,2,0),"")</f>
        <v>Custom Pultrusions</v>
      </c>
      <c r="D224" s="5" t="s">
        <v>775</v>
      </c>
      <c r="E224" s="5" t="s">
        <v>776</v>
      </c>
      <c r="F224" s="5"/>
      <c r="G224" s="5" t="s">
        <v>777</v>
      </c>
      <c r="H224" s="5"/>
      <c r="I224" s="5" t="s">
        <v>778</v>
      </c>
      <c r="J224" s="7"/>
    </row>
    <row r="225" spans="1:10" ht="18" customHeight="1" x14ac:dyDescent="0.25">
      <c r="A225" s="8"/>
      <c r="B225" s="9">
        <v>174</v>
      </c>
      <c r="C225" s="6" t="str">
        <f>IFERROR(VLOOKUP(B225,[1]customers!$A:$B,2,0),"")</f>
        <v>D&amp;D Winco2</v>
      </c>
      <c r="D225" s="9" t="s">
        <v>779</v>
      </c>
      <c r="E225" s="9" t="s">
        <v>780</v>
      </c>
      <c r="F225" s="9"/>
      <c r="G225" s="9" t="s">
        <v>781</v>
      </c>
      <c r="H225" s="9"/>
      <c r="I225" s="9" t="s">
        <v>782</v>
      </c>
      <c r="J225" s="10"/>
    </row>
    <row r="226" spans="1:10" ht="18" customHeight="1" x14ac:dyDescent="0.25">
      <c r="A226" s="4"/>
      <c r="B226" s="5">
        <v>174</v>
      </c>
      <c r="C226" s="6" t="str">
        <f>IFERROR(VLOOKUP(B226,[1]customers!$A:$B,2,0),"")</f>
        <v>D&amp;D Winco2</v>
      </c>
      <c r="D226" s="5" t="s">
        <v>779</v>
      </c>
      <c r="E226" s="5" t="s">
        <v>783</v>
      </c>
      <c r="F226" s="5"/>
      <c r="G226" s="5" t="s">
        <v>784</v>
      </c>
      <c r="H226" s="5"/>
      <c r="I226" s="5"/>
      <c r="J226" s="7"/>
    </row>
    <row r="227" spans="1:10" ht="18" customHeight="1" x14ac:dyDescent="0.25">
      <c r="A227" s="8"/>
      <c r="B227" s="9">
        <v>175</v>
      </c>
      <c r="C227" s="6" t="str">
        <f>IFERROR(VLOOKUP(B227,[1]customers!$A:$B,2,0),"")</f>
        <v>D&amp;L Custom Fabrication Inc</v>
      </c>
      <c r="D227" s="9" t="s">
        <v>785</v>
      </c>
      <c r="E227" s="9" t="s">
        <v>786</v>
      </c>
      <c r="F227" s="9"/>
      <c r="G227" s="9" t="s">
        <v>787</v>
      </c>
      <c r="H227" s="9" t="s">
        <v>788</v>
      </c>
      <c r="I227" s="9"/>
      <c r="J227" s="10"/>
    </row>
    <row r="228" spans="1:10" ht="18" customHeight="1" x14ac:dyDescent="0.25">
      <c r="A228" s="8"/>
      <c r="B228" s="9">
        <v>176</v>
      </c>
      <c r="C228" s="6" t="str">
        <f>IFERROR(VLOOKUP(B228,[1]customers!$A:$B,2,0),"")</f>
        <v>Dacon Industries</v>
      </c>
      <c r="D228" s="9" t="s">
        <v>789</v>
      </c>
      <c r="E228" s="9" t="s">
        <v>790</v>
      </c>
      <c r="F228" s="9"/>
      <c r="G228" s="9" t="s">
        <v>791</v>
      </c>
      <c r="H228" s="9"/>
      <c r="I228" s="9" t="s">
        <v>792</v>
      </c>
      <c r="J228" s="10"/>
    </row>
    <row r="229" spans="1:10" ht="18" customHeight="1" x14ac:dyDescent="0.25">
      <c r="A229" s="4"/>
      <c r="B229" s="5">
        <v>176</v>
      </c>
      <c r="C229" s="6" t="str">
        <f>IFERROR(VLOOKUP(B229,[1]customers!$A:$B,2,0),"")</f>
        <v>Dacon Industries</v>
      </c>
      <c r="D229" s="5" t="s">
        <v>789</v>
      </c>
      <c r="E229" s="5" t="s">
        <v>793</v>
      </c>
      <c r="F229" s="5"/>
      <c r="G229" s="5" t="s">
        <v>794</v>
      </c>
      <c r="H229" s="5"/>
      <c r="I229" s="5" t="s">
        <v>792</v>
      </c>
      <c r="J229" s="7"/>
    </row>
    <row r="230" spans="1:10" ht="18" customHeight="1" x14ac:dyDescent="0.25">
      <c r="A230" s="8"/>
      <c r="B230" s="9">
        <v>176</v>
      </c>
      <c r="C230" s="6" t="str">
        <f>IFERROR(VLOOKUP(B230,[1]customers!$A:$B,2,0),"")</f>
        <v>Dacon Industries</v>
      </c>
      <c r="D230" s="9" t="s">
        <v>789</v>
      </c>
      <c r="E230" s="9" t="s">
        <v>795</v>
      </c>
      <c r="F230" s="9"/>
      <c r="G230" s="9" t="s">
        <v>796</v>
      </c>
      <c r="H230" s="9" t="s">
        <v>797</v>
      </c>
      <c r="I230" s="9"/>
      <c r="J230" s="10"/>
    </row>
    <row r="231" spans="1:10" ht="18" customHeight="1" x14ac:dyDescent="0.25">
      <c r="A231" s="4"/>
      <c r="B231" s="5">
        <v>176</v>
      </c>
      <c r="C231" s="6" t="str">
        <f>IFERROR(VLOOKUP(B231,[1]customers!$A:$B,2,0),"")</f>
        <v>Dacon Industries</v>
      </c>
      <c r="D231" s="5" t="s">
        <v>789</v>
      </c>
      <c r="E231" s="5" t="s">
        <v>798</v>
      </c>
      <c r="F231" s="5"/>
      <c r="G231" s="5" t="s">
        <v>799</v>
      </c>
      <c r="H231" s="5" t="s">
        <v>800</v>
      </c>
      <c r="I231" s="5"/>
      <c r="J231" s="7"/>
    </row>
    <row r="232" spans="1:10" ht="18" customHeight="1" x14ac:dyDescent="0.25">
      <c r="A232" s="8"/>
      <c r="B232" s="9">
        <v>176</v>
      </c>
      <c r="C232" s="6" t="str">
        <f>IFERROR(VLOOKUP(B232,[1]customers!$A:$B,2,0),"")</f>
        <v>Dacon Industries</v>
      </c>
      <c r="D232" s="9" t="s">
        <v>801</v>
      </c>
      <c r="E232" s="9" t="s">
        <v>802</v>
      </c>
      <c r="F232" s="9"/>
      <c r="G232" s="9" t="s">
        <v>803</v>
      </c>
      <c r="H232" s="9"/>
      <c r="I232" s="9" t="s">
        <v>804</v>
      </c>
      <c r="J232" s="10"/>
    </row>
    <row r="233" spans="1:10" ht="18" customHeight="1" x14ac:dyDescent="0.25">
      <c r="A233" s="4"/>
      <c r="B233" s="5">
        <v>176</v>
      </c>
      <c r="C233" s="6" t="str">
        <f>IFERROR(VLOOKUP(B233,[1]customers!$A:$B,2,0),"")</f>
        <v>Dacon Industries</v>
      </c>
      <c r="D233" s="5" t="s">
        <v>801</v>
      </c>
      <c r="E233" s="5" t="s">
        <v>805</v>
      </c>
      <c r="F233" s="5"/>
      <c r="G233" s="5" t="s">
        <v>806</v>
      </c>
      <c r="H233" s="5"/>
      <c r="I233" s="5" t="s">
        <v>804</v>
      </c>
      <c r="J233" s="7"/>
    </row>
    <row r="234" spans="1:10" ht="18" customHeight="1" x14ac:dyDescent="0.25">
      <c r="A234" s="8"/>
      <c r="B234" s="9">
        <v>177</v>
      </c>
      <c r="C234" s="6" t="str">
        <f>IFERROR(VLOOKUP(B234,[1]customers!$A:$B,2,0),"")</f>
        <v>Dale Adams Enterprises</v>
      </c>
      <c r="D234" s="9" t="s">
        <v>807</v>
      </c>
      <c r="E234" s="9" t="s">
        <v>808</v>
      </c>
      <c r="F234" s="9"/>
      <c r="G234" s="9" t="s">
        <v>809</v>
      </c>
      <c r="H234" s="9" t="s">
        <v>810</v>
      </c>
      <c r="I234" s="9"/>
      <c r="J234" s="10"/>
    </row>
    <row r="235" spans="1:10" ht="18" customHeight="1" x14ac:dyDescent="0.25">
      <c r="A235" s="4"/>
      <c r="B235" s="5">
        <v>182</v>
      </c>
      <c r="C235" s="6" t="str">
        <f>IFERROR(VLOOKUP(B235,[1]customers!$A:$B,2,0),"")</f>
        <v>Dawson A Texas Company</v>
      </c>
      <c r="D235" s="5" t="s">
        <v>811</v>
      </c>
      <c r="E235" s="5" t="s">
        <v>812</v>
      </c>
      <c r="F235" s="5"/>
      <c r="G235" s="5" t="s">
        <v>813</v>
      </c>
      <c r="H235" s="5"/>
      <c r="I235" s="5" t="s">
        <v>814</v>
      </c>
      <c r="J235" s="7"/>
    </row>
    <row r="236" spans="1:10" ht="18" customHeight="1" x14ac:dyDescent="0.25">
      <c r="A236" s="8"/>
      <c r="B236" s="9">
        <v>183</v>
      </c>
      <c r="C236" s="6" t="str">
        <f>IFERROR(VLOOKUP(B236,[1]customers!$A:$B,2,0),"")</f>
        <v>Dedicated Transport Services Inc</v>
      </c>
      <c r="D236" s="9" t="s">
        <v>815</v>
      </c>
      <c r="E236" s="9" t="s">
        <v>816</v>
      </c>
      <c r="F236" s="9"/>
      <c r="G236" s="9" t="s">
        <v>817</v>
      </c>
      <c r="H236" s="9"/>
      <c r="I236" s="9" t="s">
        <v>818</v>
      </c>
      <c r="J236" s="10"/>
    </row>
    <row r="237" spans="1:10" ht="18" customHeight="1" x14ac:dyDescent="0.25">
      <c r="A237" s="4"/>
      <c r="B237" s="5">
        <v>184</v>
      </c>
      <c r="C237" s="6" t="str">
        <f>IFERROR(VLOOKUP(B237,[1]customers!$A:$B,2,0),"")</f>
        <v>Defontaine S.A.</v>
      </c>
      <c r="D237" s="5" t="s">
        <v>819</v>
      </c>
      <c r="E237" s="5" t="s">
        <v>820</v>
      </c>
      <c r="F237" s="5"/>
      <c r="G237" s="5" t="s">
        <v>821</v>
      </c>
      <c r="H237" s="5" t="s">
        <v>822</v>
      </c>
      <c r="I237" s="5" t="s">
        <v>823</v>
      </c>
      <c r="J237" s="7"/>
    </row>
    <row r="238" spans="1:10" ht="18" customHeight="1" x14ac:dyDescent="0.25">
      <c r="A238" s="8"/>
      <c r="B238" s="9">
        <v>185</v>
      </c>
      <c r="C238" s="6" t="str">
        <f>IFERROR(VLOOKUP(B238,[1]customers!$A:$B,2,0),"")</f>
        <v>Demag Cranes</v>
      </c>
      <c r="D238" s="9" t="s">
        <v>824</v>
      </c>
      <c r="E238" s="9" t="s">
        <v>825</v>
      </c>
      <c r="F238" s="9"/>
      <c r="G238" s="9" t="s">
        <v>826</v>
      </c>
      <c r="H238" s="9" t="s">
        <v>827</v>
      </c>
      <c r="I238" s="9"/>
      <c r="J238" s="10"/>
    </row>
    <row r="239" spans="1:10" ht="18" customHeight="1" x14ac:dyDescent="0.25">
      <c r="A239" s="4"/>
      <c r="B239" s="5">
        <v>187</v>
      </c>
      <c r="C239" s="6" t="str">
        <f>IFERROR(VLOOKUP(B239,[1]customers!$A:$B,2,0),"")</f>
        <v>Design Molded Plastics</v>
      </c>
      <c r="D239" s="5" t="s">
        <v>828</v>
      </c>
      <c r="E239" s="5" t="s">
        <v>829</v>
      </c>
      <c r="F239" s="5"/>
      <c r="G239" s="5" t="s">
        <v>830</v>
      </c>
      <c r="H239" s="5"/>
      <c r="I239" s="5" t="s">
        <v>831</v>
      </c>
      <c r="J239" s="7"/>
    </row>
    <row r="240" spans="1:10" ht="18" customHeight="1" x14ac:dyDescent="0.25">
      <c r="A240" s="4"/>
      <c r="B240" s="5">
        <v>188</v>
      </c>
      <c r="C240" s="6" t="str">
        <f>IFERROR(VLOOKUP(B240,[1]customers!$A:$B,2,0),"")</f>
        <v>DHL E-Commerce</v>
      </c>
      <c r="D240" s="5" t="s">
        <v>832</v>
      </c>
      <c r="E240" s="5" t="s">
        <v>833</v>
      </c>
      <c r="F240" s="5"/>
      <c r="G240" s="5" t="s">
        <v>834</v>
      </c>
      <c r="H240" s="5"/>
      <c r="I240" s="5" t="s">
        <v>835</v>
      </c>
      <c r="J240" s="7"/>
    </row>
    <row r="241" spans="1:10" ht="18" customHeight="1" x14ac:dyDescent="0.25">
      <c r="A241" s="8"/>
      <c r="B241" s="9">
        <v>188</v>
      </c>
      <c r="C241" s="6" t="str">
        <f>IFERROR(VLOOKUP(B241,[1]customers!$A:$B,2,0),"")</f>
        <v>DHL E-Commerce</v>
      </c>
      <c r="D241" s="9" t="s">
        <v>832</v>
      </c>
      <c r="E241" s="9" t="s">
        <v>836</v>
      </c>
      <c r="F241" s="9"/>
      <c r="G241" s="9" t="s">
        <v>837</v>
      </c>
      <c r="H241" s="9"/>
      <c r="I241" s="9" t="s">
        <v>838</v>
      </c>
      <c r="J241" s="10"/>
    </row>
    <row r="242" spans="1:10" ht="18" customHeight="1" x14ac:dyDescent="0.25">
      <c r="A242" s="8"/>
      <c r="B242" s="9">
        <v>189</v>
      </c>
      <c r="C242" s="6" t="str">
        <f>IFERROR(VLOOKUP(B242,[1]customers!$A:$B,2,0),"")</f>
        <v>Diamond Rigging Co</v>
      </c>
      <c r="D242" s="9" t="s">
        <v>839</v>
      </c>
      <c r="E242" s="9" t="s">
        <v>840</v>
      </c>
      <c r="F242" s="9"/>
      <c r="G242" s="9" t="s">
        <v>841</v>
      </c>
      <c r="H242" s="9"/>
      <c r="I242" s="9">
        <v>6303301528</v>
      </c>
      <c r="J242" s="10"/>
    </row>
    <row r="243" spans="1:10" ht="18" customHeight="1" x14ac:dyDescent="0.25">
      <c r="A243" s="4"/>
      <c r="B243" s="5">
        <v>190</v>
      </c>
      <c r="C243" s="6" t="str">
        <f>IFERROR(VLOOKUP(B243,[1]customers!$A:$B,2,0),"")</f>
        <v>Die Cutting Advisors</v>
      </c>
      <c r="D243" s="5" t="s">
        <v>842</v>
      </c>
      <c r="E243" s="5" t="s">
        <v>843</v>
      </c>
      <c r="F243" s="5"/>
      <c r="G243" s="5" t="s">
        <v>844</v>
      </c>
      <c r="H243" s="5"/>
      <c r="I243" s="5" t="s">
        <v>845</v>
      </c>
      <c r="J243" s="7"/>
    </row>
    <row r="244" spans="1:10" ht="18" customHeight="1" x14ac:dyDescent="0.25">
      <c r="A244" s="8"/>
      <c r="B244" s="9">
        <v>190</v>
      </c>
      <c r="C244" s="6" t="str">
        <f>IFERROR(VLOOKUP(B244,[1]customers!$A:$B,2,0),"")</f>
        <v>Die Cutting Advisors</v>
      </c>
      <c r="D244" s="9" t="s">
        <v>842</v>
      </c>
      <c r="E244" s="9" t="s">
        <v>843</v>
      </c>
      <c r="F244" s="9"/>
      <c r="G244" s="9" t="s">
        <v>844</v>
      </c>
      <c r="H244" s="9"/>
      <c r="I244" s="9" t="s">
        <v>845</v>
      </c>
      <c r="J244" s="10"/>
    </row>
    <row r="245" spans="1:10" ht="18" customHeight="1" x14ac:dyDescent="0.25">
      <c r="A245" s="4"/>
      <c r="B245" s="5">
        <v>192</v>
      </c>
      <c r="C245" s="6" t="str">
        <f>IFERROR(VLOOKUP(B245,[1]customers!$A:$B,2,0),"")</f>
        <v>DiGaimmarino Stone Surfaces</v>
      </c>
      <c r="D245" s="5" t="s">
        <v>846</v>
      </c>
      <c r="E245" s="5" t="s">
        <v>847</v>
      </c>
      <c r="F245" s="5"/>
      <c r="G245" s="5" t="s">
        <v>848</v>
      </c>
      <c r="H245" s="5" t="s">
        <v>849</v>
      </c>
      <c r="I245" s="5"/>
      <c r="J245" s="7"/>
    </row>
    <row r="246" spans="1:10" ht="18" customHeight="1" x14ac:dyDescent="0.25">
      <c r="A246" s="8"/>
      <c r="B246" s="9">
        <v>195</v>
      </c>
      <c r="C246" s="6" t="str">
        <f>IFERROR(VLOOKUP(B246,[1]customers!$A:$B,2,0),"")</f>
        <v>Dixie Reproductions</v>
      </c>
      <c r="D246" s="9" t="s">
        <v>850</v>
      </c>
      <c r="E246" s="9" t="s">
        <v>851</v>
      </c>
      <c r="F246" s="9"/>
      <c r="G246" s="9" t="s">
        <v>852</v>
      </c>
      <c r="H246" s="9"/>
      <c r="I246" s="9" t="s">
        <v>853</v>
      </c>
      <c r="J246" s="10"/>
    </row>
    <row r="247" spans="1:10" ht="18" customHeight="1" x14ac:dyDescent="0.25">
      <c r="A247" s="4"/>
      <c r="B247" s="5">
        <v>196</v>
      </c>
      <c r="C247" s="6" t="str">
        <f>IFERROR(VLOOKUP(B247,[1]customers!$A:$B,2,0),"")</f>
        <v>DK Manufacturing</v>
      </c>
      <c r="D247" s="5" t="s">
        <v>854</v>
      </c>
      <c r="E247" s="5" t="s">
        <v>855</v>
      </c>
      <c r="F247" s="5"/>
      <c r="G247" s="5"/>
      <c r="H247" s="5"/>
      <c r="I247" s="5" t="s">
        <v>856</v>
      </c>
      <c r="J247" s="7"/>
    </row>
    <row r="248" spans="1:10" ht="18" customHeight="1" x14ac:dyDescent="0.25">
      <c r="A248" s="8"/>
      <c r="B248" s="9">
        <v>196</v>
      </c>
      <c r="C248" s="6" t="str">
        <f>IFERROR(VLOOKUP(B248,[1]customers!$A:$B,2,0),"")</f>
        <v>DK Manufacturing</v>
      </c>
      <c r="D248" s="9" t="s">
        <v>854</v>
      </c>
      <c r="E248" s="9" t="s">
        <v>857</v>
      </c>
      <c r="F248" s="9"/>
      <c r="G248" s="9" t="s">
        <v>858</v>
      </c>
      <c r="H248" s="9"/>
      <c r="I248" s="9" t="s">
        <v>859</v>
      </c>
      <c r="J248" s="10"/>
    </row>
    <row r="249" spans="1:10" ht="18" customHeight="1" x14ac:dyDescent="0.25">
      <c r="A249" s="4"/>
      <c r="B249" s="5">
        <v>196</v>
      </c>
      <c r="C249" s="6" t="str">
        <f>IFERROR(VLOOKUP(B249,[1]customers!$A:$B,2,0),"")</f>
        <v>DK Manufacturing</v>
      </c>
      <c r="D249" s="5" t="s">
        <v>854</v>
      </c>
      <c r="E249" s="5" t="s">
        <v>860</v>
      </c>
      <c r="F249" s="5"/>
      <c r="G249" s="5" t="s">
        <v>861</v>
      </c>
      <c r="H249" s="5"/>
      <c r="I249" s="5" t="s">
        <v>862</v>
      </c>
      <c r="J249" s="7"/>
    </row>
    <row r="250" spans="1:10" ht="18" customHeight="1" x14ac:dyDescent="0.25">
      <c r="A250" s="8"/>
      <c r="B250" s="9">
        <v>197</v>
      </c>
      <c r="C250" s="6" t="str">
        <f>IFERROR(VLOOKUP(B250,[1]customers!$A:$B,2,0),"")</f>
        <v>DM Industrial</v>
      </c>
      <c r="D250" s="9" t="s">
        <v>863</v>
      </c>
      <c r="E250" s="9" t="s">
        <v>864</v>
      </c>
      <c r="F250" s="9"/>
      <c r="G250" s="9"/>
      <c r="H250" s="9"/>
      <c r="I250" s="9" t="s">
        <v>865</v>
      </c>
      <c r="J250" s="10"/>
    </row>
    <row r="251" spans="1:10" ht="18" customHeight="1" x14ac:dyDescent="0.25">
      <c r="A251" s="4"/>
      <c r="B251" s="5">
        <v>200</v>
      </c>
      <c r="C251" s="6" t="str">
        <f>IFERROR(VLOOKUP(B251,[1]customers!$A:$B,2,0),"")</f>
        <v>Dover Hydraulics, Inc</v>
      </c>
      <c r="D251" s="5" t="s">
        <v>866</v>
      </c>
      <c r="E251" s="5" t="s">
        <v>867</v>
      </c>
      <c r="F251" s="5"/>
      <c r="G251" s="5" t="s">
        <v>868</v>
      </c>
      <c r="H251" s="5"/>
      <c r="I251" s="5">
        <v>3303405913</v>
      </c>
      <c r="J251" s="7"/>
    </row>
    <row r="252" spans="1:10" ht="18" customHeight="1" x14ac:dyDescent="0.25">
      <c r="A252" s="8"/>
      <c r="B252" s="9">
        <v>201</v>
      </c>
      <c r="C252" s="6" t="str">
        <f>IFERROR(VLOOKUP(B252,[1]customers!$A:$B,2,0),"")</f>
        <v>DPA Machinery</v>
      </c>
      <c r="D252" s="9" t="s">
        <v>869</v>
      </c>
      <c r="E252" s="9" t="s">
        <v>870</v>
      </c>
      <c r="F252" s="9"/>
      <c r="G252" s="9" t="s">
        <v>871</v>
      </c>
      <c r="H252" s="9"/>
      <c r="I252" s="9" t="s">
        <v>872</v>
      </c>
      <c r="J252" s="10"/>
    </row>
    <row r="253" spans="1:10" ht="18" customHeight="1" x14ac:dyDescent="0.25">
      <c r="A253" s="4"/>
      <c r="B253" s="5">
        <v>203</v>
      </c>
      <c r="C253" s="6" t="str">
        <f>IFERROR(VLOOKUP(B253,[1]customers!$A:$B,2,0),"")</f>
        <v>Drummond Uniform</v>
      </c>
      <c r="D253" s="5" t="s">
        <v>873</v>
      </c>
      <c r="E253" s="5" t="s">
        <v>874</v>
      </c>
      <c r="F253" s="5"/>
      <c r="G253" s="5"/>
      <c r="H253" s="5" t="s">
        <v>875</v>
      </c>
      <c r="I253" s="5"/>
      <c r="J253" s="7"/>
    </row>
    <row r="254" spans="1:10" ht="18" customHeight="1" x14ac:dyDescent="0.25">
      <c r="A254" s="8"/>
      <c r="B254" s="9">
        <v>204</v>
      </c>
      <c r="C254" s="6" t="str">
        <f>IFERROR(VLOOKUP(B254,[1]customers!$A:$B,2,0),"")</f>
        <v>Durajoint Concrete Accessories</v>
      </c>
      <c r="D254" s="9" t="s">
        <v>876</v>
      </c>
      <c r="E254" s="9" t="s">
        <v>877</v>
      </c>
      <c r="F254" s="9"/>
      <c r="G254" s="9" t="s">
        <v>878</v>
      </c>
      <c r="H254" s="9"/>
      <c r="I254" s="9" t="s">
        <v>879</v>
      </c>
      <c r="J254" s="10"/>
    </row>
    <row r="255" spans="1:10" ht="18" customHeight="1" x14ac:dyDescent="0.25">
      <c r="A255" s="4"/>
      <c r="B255" s="5">
        <v>204</v>
      </c>
      <c r="C255" s="6" t="str">
        <f>IFERROR(VLOOKUP(B255,[1]customers!$A:$B,2,0),"")</f>
        <v>Durajoint Concrete Accessories</v>
      </c>
      <c r="D255" s="5" t="s">
        <v>876</v>
      </c>
      <c r="E255" s="5" t="s">
        <v>880</v>
      </c>
      <c r="F255" s="5"/>
      <c r="G255" s="5" t="s">
        <v>881</v>
      </c>
      <c r="H255" s="5" t="s">
        <v>882</v>
      </c>
      <c r="I255" s="5"/>
      <c r="J255" s="7"/>
    </row>
    <row r="256" spans="1:10" ht="18" customHeight="1" x14ac:dyDescent="0.25">
      <c r="A256" s="8"/>
      <c r="B256" s="9">
        <v>205</v>
      </c>
      <c r="C256" s="6" t="str">
        <f>IFERROR(VLOOKUP(B256,[1]customers!$A:$B,2,0),"")</f>
        <v>Durbin Equipment Sales</v>
      </c>
      <c r="D256" s="9" t="s">
        <v>883</v>
      </c>
      <c r="E256" s="9" t="s">
        <v>884</v>
      </c>
      <c r="F256" s="9"/>
      <c r="G256" s="9"/>
      <c r="H256" s="9"/>
      <c r="I256" s="9" t="s">
        <v>885</v>
      </c>
      <c r="J256" s="10"/>
    </row>
    <row r="257" spans="1:10" ht="18" customHeight="1" x14ac:dyDescent="0.25">
      <c r="A257" s="4"/>
      <c r="B257" s="5">
        <v>207</v>
      </c>
      <c r="C257" s="6" t="str">
        <f>IFERROR(VLOOKUP(B257,[1]customers!$A:$B,2,0),"")</f>
        <v>Dutchcraft Mattress Co.</v>
      </c>
      <c r="D257" s="5" t="s">
        <v>886</v>
      </c>
      <c r="E257" s="5" t="s">
        <v>887</v>
      </c>
      <c r="F257" s="5"/>
      <c r="G257" s="5" t="s">
        <v>888</v>
      </c>
      <c r="H257" s="5" t="s">
        <v>889</v>
      </c>
      <c r="I257" s="5" t="s">
        <v>890</v>
      </c>
      <c r="J257" s="7"/>
    </row>
    <row r="258" spans="1:10" ht="18" customHeight="1" x14ac:dyDescent="0.25">
      <c r="A258" s="8"/>
      <c r="B258" s="9">
        <v>207</v>
      </c>
      <c r="C258" s="6" t="str">
        <f>IFERROR(VLOOKUP(B258,[1]customers!$A:$B,2,0),"")</f>
        <v>Dutchcraft Mattress Co.</v>
      </c>
      <c r="D258" s="9" t="s">
        <v>886</v>
      </c>
      <c r="E258" s="9" t="s">
        <v>891</v>
      </c>
      <c r="F258" s="9"/>
      <c r="G258" s="9" t="s">
        <v>892</v>
      </c>
      <c r="H258" s="9"/>
      <c r="I258" s="9" t="s">
        <v>893</v>
      </c>
      <c r="J258" s="10"/>
    </row>
    <row r="259" spans="1:10" ht="18" customHeight="1" x14ac:dyDescent="0.25">
      <c r="A259" s="4"/>
      <c r="B259" s="5">
        <v>208</v>
      </c>
      <c r="C259" s="6" t="str">
        <f>IFERROR(VLOOKUP(B259,[1]customers!$A:$B,2,0),"")</f>
        <v>Dutton Electric</v>
      </c>
      <c r="D259" s="5" t="s">
        <v>894</v>
      </c>
      <c r="E259" s="5" t="s">
        <v>895</v>
      </c>
      <c r="F259" s="5"/>
      <c r="G259" s="5" t="s">
        <v>896</v>
      </c>
      <c r="H259" s="5" t="s">
        <v>897</v>
      </c>
      <c r="I259" s="5"/>
      <c r="J259" s="7"/>
    </row>
    <row r="260" spans="1:10" ht="18" customHeight="1" x14ac:dyDescent="0.25">
      <c r="A260" s="4"/>
      <c r="B260" s="5">
        <v>212</v>
      </c>
      <c r="C260" s="6" t="str">
        <f>IFERROR(VLOOKUP(B260,[1]customers!$A:$B,2,0),"")</f>
        <v>Earle M. Jorgensen Co.</v>
      </c>
      <c r="D260" s="5" t="s">
        <v>898</v>
      </c>
      <c r="E260" s="5" t="s">
        <v>899</v>
      </c>
      <c r="F260" s="5"/>
      <c r="G260" s="5" t="s">
        <v>900</v>
      </c>
      <c r="H260" s="5"/>
      <c r="I260" s="5" t="s">
        <v>901</v>
      </c>
      <c r="J260" s="7"/>
    </row>
    <row r="261" spans="1:10" ht="18" customHeight="1" x14ac:dyDescent="0.25">
      <c r="A261" s="8"/>
      <c r="B261" s="9">
        <v>214</v>
      </c>
      <c r="C261" s="6" t="str">
        <f>IFERROR(VLOOKUP(B261,[1]customers!$A:$B,2,0),"")</f>
        <v>Eaton Corporation</v>
      </c>
      <c r="D261" s="9" t="s">
        <v>902</v>
      </c>
      <c r="E261" s="9" t="s">
        <v>903</v>
      </c>
      <c r="F261" s="9"/>
      <c r="G261" s="9"/>
      <c r="H261" s="9" t="s">
        <v>904</v>
      </c>
      <c r="I261" s="9"/>
      <c r="J261" s="10"/>
    </row>
    <row r="262" spans="1:10" ht="18" customHeight="1" x14ac:dyDescent="0.25">
      <c r="A262" s="4"/>
      <c r="B262" s="5">
        <v>214</v>
      </c>
      <c r="C262" s="6" t="str">
        <f>IFERROR(VLOOKUP(B262,[1]customers!$A:$B,2,0),"")</f>
        <v>Eaton Corporation</v>
      </c>
      <c r="D262" s="5" t="s">
        <v>902</v>
      </c>
      <c r="E262" s="5" t="s">
        <v>905</v>
      </c>
      <c r="F262" s="5"/>
      <c r="G262" s="5" t="s">
        <v>906</v>
      </c>
      <c r="H262" s="5"/>
      <c r="I262" s="5"/>
      <c r="J262" s="7"/>
    </row>
    <row r="263" spans="1:10" ht="18" customHeight="1" x14ac:dyDescent="0.25">
      <c r="A263" s="8"/>
      <c r="B263" s="9">
        <v>214</v>
      </c>
      <c r="C263" s="6" t="str">
        <f>IFERROR(VLOOKUP(B263,[1]customers!$A:$B,2,0),"")</f>
        <v>Eaton Corporation</v>
      </c>
      <c r="D263" s="9" t="s">
        <v>902</v>
      </c>
      <c r="E263" s="9" t="s">
        <v>907</v>
      </c>
      <c r="F263" s="9"/>
      <c r="G263" s="9" t="s">
        <v>908</v>
      </c>
      <c r="H263" s="9"/>
      <c r="I263" s="9" t="s">
        <v>909</v>
      </c>
      <c r="J263" s="10"/>
    </row>
    <row r="264" spans="1:10" ht="18" customHeight="1" x14ac:dyDescent="0.25">
      <c r="A264" s="4"/>
      <c r="B264" s="5">
        <v>214</v>
      </c>
      <c r="C264" s="6" t="str">
        <f>IFERROR(VLOOKUP(B264,[1]customers!$A:$B,2,0),"")</f>
        <v>Eaton Corporation</v>
      </c>
      <c r="D264" s="5" t="s">
        <v>902</v>
      </c>
      <c r="E264" s="5" t="s">
        <v>910</v>
      </c>
      <c r="F264" s="5"/>
      <c r="G264" s="5" t="s">
        <v>911</v>
      </c>
      <c r="H264" s="5"/>
      <c r="I264" s="5"/>
      <c r="J264" s="7"/>
    </row>
    <row r="265" spans="1:10" ht="18" customHeight="1" x14ac:dyDescent="0.25">
      <c r="A265" s="8"/>
      <c r="B265" s="9">
        <v>216</v>
      </c>
      <c r="C265" s="6" t="str">
        <f>IFERROR(VLOOKUP(B265,[1]customers!$A:$B,2,0),"")</f>
        <v>Edge Plastics</v>
      </c>
      <c r="D265" s="9" t="s">
        <v>912</v>
      </c>
      <c r="E265" s="9" t="s">
        <v>913</v>
      </c>
      <c r="F265" s="9"/>
      <c r="G265" s="9"/>
      <c r="H265" s="9"/>
      <c r="I265" s="9">
        <v>4195226696</v>
      </c>
      <c r="J265" s="10"/>
    </row>
    <row r="266" spans="1:10" ht="18" customHeight="1" x14ac:dyDescent="0.25">
      <c r="A266" s="4"/>
      <c r="B266" s="5">
        <v>216</v>
      </c>
      <c r="C266" s="6" t="str">
        <f>IFERROR(VLOOKUP(B266,[1]customers!$A:$B,2,0),"")</f>
        <v>Edge Plastics</v>
      </c>
      <c r="D266" s="5" t="s">
        <v>912</v>
      </c>
      <c r="E266" s="5" t="s">
        <v>914</v>
      </c>
      <c r="F266" s="5"/>
      <c r="G266" s="5" t="s">
        <v>915</v>
      </c>
      <c r="H266" s="5"/>
      <c r="I266" s="5" t="s">
        <v>916</v>
      </c>
      <c r="J266" s="7"/>
    </row>
    <row r="267" spans="1:10" ht="18" customHeight="1" x14ac:dyDescent="0.25">
      <c r="A267" s="8"/>
      <c r="B267" s="9">
        <v>218</v>
      </c>
      <c r="C267" s="6" t="str">
        <f>IFERROR(VLOOKUP(B267,[1]customers!$A:$B,2,0),"")</f>
        <v>Electra Cord Inc</v>
      </c>
      <c r="D267" s="9" t="s">
        <v>917</v>
      </c>
      <c r="E267" s="9" t="s">
        <v>918</v>
      </c>
      <c r="F267" s="9"/>
      <c r="G267" s="9"/>
      <c r="H267" s="9"/>
      <c r="I267" s="9" t="s">
        <v>919</v>
      </c>
      <c r="J267" s="10"/>
    </row>
    <row r="268" spans="1:10" ht="18" customHeight="1" x14ac:dyDescent="0.25">
      <c r="A268" s="8"/>
      <c r="B268" s="9">
        <v>221</v>
      </c>
      <c r="C268" s="6" t="str">
        <f>IFERROR(VLOOKUP(B268,[1]customers!$A:$B,2,0),"")</f>
        <v>Elite Stainless Steel</v>
      </c>
      <c r="D268" s="9" t="s">
        <v>920</v>
      </c>
      <c r="E268" s="9" t="s">
        <v>921</v>
      </c>
      <c r="F268" s="9"/>
      <c r="G268" s="9" t="s">
        <v>922</v>
      </c>
      <c r="H268" s="9"/>
      <c r="I268" s="9" t="s">
        <v>923</v>
      </c>
      <c r="J268" s="10"/>
    </row>
    <row r="269" spans="1:10" ht="18" customHeight="1" x14ac:dyDescent="0.25">
      <c r="A269" s="4"/>
      <c r="B269" s="5">
        <v>222</v>
      </c>
      <c r="C269" s="6" t="str">
        <f>IFERROR(VLOOKUP(B269,[1]customers!$A:$B,2,0),"")</f>
        <v>Ely Enterprises</v>
      </c>
      <c r="D269" s="5" t="s">
        <v>924</v>
      </c>
      <c r="E269" s="5" t="s">
        <v>925</v>
      </c>
      <c r="F269" s="5"/>
      <c r="G269" s="5" t="s">
        <v>926</v>
      </c>
      <c r="H269" s="5"/>
      <c r="I269" s="5" t="s">
        <v>927</v>
      </c>
      <c r="J269" s="7"/>
    </row>
    <row r="270" spans="1:10" ht="18" customHeight="1" x14ac:dyDescent="0.25">
      <c r="A270" s="8"/>
      <c r="B270" s="9">
        <v>223</v>
      </c>
      <c r="C270" s="6" t="str">
        <f>IFERROR(VLOOKUP(B270,[1]customers!$A:$B,2,0),"")</f>
        <v>Emerald Machinery Corp</v>
      </c>
      <c r="D270" s="9" t="s">
        <v>928</v>
      </c>
      <c r="E270" s="9" t="s">
        <v>929</v>
      </c>
      <c r="F270" s="9"/>
      <c r="G270" s="9" t="s">
        <v>930</v>
      </c>
      <c r="H270" s="9" t="s">
        <v>931</v>
      </c>
      <c r="I270" s="9"/>
      <c r="J270" s="10"/>
    </row>
    <row r="271" spans="1:10" ht="18" customHeight="1" x14ac:dyDescent="0.25">
      <c r="A271" s="4"/>
      <c r="B271" s="5">
        <v>224</v>
      </c>
      <c r="C271" s="6" t="str">
        <f>IFERROR(VLOOKUP(B271,[1]customers!$A:$B,2,0),"")</f>
        <v>Emerson Technologies</v>
      </c>
      <c r="D271" s="5" t="s">
        <v>932</v>
      </c>
      <c r="E271" s="5" t="s">
        <v>933</v>
      </c>
      <c r="F271" s="5"/>
      <c r="G271" s="5" t="s">
        <v>934</v>
      </c>
      <c r="H271" s="5"/>
      <c r="I271" s="5" t="s">
        <v>935</v>
      </c>
      <c r="J271" s="7"/>
    </row>
    <row r="272" spans="1:10" ht="18" customHeight="1" x14ac:dyDescent="0.25">
      <c r="A272" s="8"/>
      <c r="B272" s="9">
        <v>225</v>
      </c>
      <c r="C272" s="6" t="str">
        <f>IFERROR(VLOOKUP(B272,[1]customers!$A:$B,2,0),"")</f>
        <v>Empire Castings Co.</v>
      </c>
      <c r="D272" s="9" t="s">
        <v>936</v>
      </c>
      <c r="E272" s="9" t="s">
        <v>937</v>
      </c>
      <c r="F272" s="9"/>
      <c r="G272" s="9" t="s">
        <v>938</v>
      </c>
      <c r="H272" s="9"/>
      <c r="I272" s="9" t="s">
        <v>939</v>
      </c>
      <c r="J272" s="10"/>
    </row>
    <row r="273" spans="1:10" ht="18" customHeight="1" x14ac:dyDescent="0.25">
      <c r="A273" s="4"/>
      <c r="B273" s="5">
        <v>225</v>
      </c>
      <c r="C273" s="6" t="str">
        <f>IFERROR(VLOOKUP(B273,[1]customers!$A:$B,2,0),"")</f>
        <v>Empire Castings Co.</v>
      </c>
      <c r="D273" s="5" t="s">
        <v>936</v>
      </c>
      <c r="E273" s="5" t="s">
        <v>940</v>
      </c>
      <c r="F273" s="5"/>
      <c r="G273" s="5" t="s">
        <v>941</v>
      </c>
      <c r="H273" s="5"/>
      <c r="I273" s="5" t="s">
        <v>942</v>
      </c>
      <c r="J273" s="7"/>
    </row>
    <row r="274" spans="1:10" ht="18" customHeight="1" x14ac:dyDescent="0.25">
      <c r="A274" s="8"/>
      <c r="B274" s="9">
        <v>225</v>
      </c>
      <c r="C274" s="6" t="str">
        <f>IFERROR(VLOOKUP(B274,[1]customers!$A:$B,2,0),"")</f>
        <v>Empire Castings Co.</v>
      </c>
      <c r="D274" s="9" t="s">
        <v>936</v>
      </c>
      <c r="E274" s="9" t="s">
        <v>943</v>
      </c>
      <c r="F274" s="9"/>
      <c r="G274" s="9" t="s">
        <v>944</v>
      </c>
      <c r="H274" s="9" t="s">
        <v>945</v>
      </c>
      <c r="I274" s="9" t="s">
        <v>946</v>
      </c>
      <c r="J274" s="10"/>
    </row>
    <row r="275" spans="1:10" ht="18" customHeight="1" x14ac:dyDescent="0.25">
      <c r="A275" s="4"/>
      <c r="B275" s="5">
        <v>225</v>
      </c>
      <c r="C275" s="6" t="str">
        <f>IFERROR(VLOOKUP(B275,[1]customers!$A:$B,2,0),"")</f>
        <v>Empire Castings Co.</v>
      </c>
      <c r="D275" s="5" t="s">
        <v>936</v>
      </c>
      <c r="E275" s="5" t="s">
        <v>947</v>
      </c>
      <c r="F275" s="5"/>
      <c r="G275" s="5" t="s">
        <v>948</v>
      </c>
      <c r="H275" s="5" t="s">
        <v>949</v>
      </c>
      <c r="I275" s="5"/>
      <c r="J275" s="7"/>
    </row>
    <row r="276" spans="1:10" ht="18" customHeight="1" x14ac:dyDescent="0.25">
      <c r="A276" s="8"/>
      <c r="B276" s="9">
        <v>225</v>
      </c>
      <c r="C276" s="6" t="str">
        <f>IFERROR(VLOOKUP(B276,[1]customers!$A:$B,2,0),"")</f>
        <v>Empire Castings Co.</v>
      </c>
      <c r="D276" s="9" t="s">
        <v>936</v>
      </c>
      <c r="E276" s="9" t="s">
        <v>950</v>
      </c>
      <c r="F276" s="9"/>
      <c r="G276" s="9" t="s">
        <v>951</v>
      </c>
      <c r="H276" s="9"/>
      <c r="I276" s="9" t="s">
        <v>949</v>
      </c>
      <c r="J276" s="10"/>
    </row>
    <row r="277" spans="1:10" ht="18" customHeight="1" x14ac:dyDescent="0.25">
      <c r="A277" s="4"/>
      <c r="B277" s="5">
        <v>225</v>
      </c>
      <c r="C277" s="6" t="str">
        <f>IFERROR(VLOOKUP(B277,[1]customers!$A:$B,2,0),"")</f>
        <v>Empire Castings Co.</v>
      </c>
      <c r="D277" s="5" t="s">
        <v>936</v>
      </c>
      <c r="E277" s="5" t="s">
        <v>952</v>
      </c>
      <c r="F277" s="5"/>
      <c r="G277" s="5" t="s">
        <v>953</v>
      </c>
      <c r="H277" s="5" t="s">
        <v>954</v>
      </c>
      <c r="I277" s="5"/>
      <c r="J277" s="7"/>
    </row>
    <row r="278" spans="1:10" ht="18" customHeight="1" x14ac:dyDescent="0.25">
      <c r="A278" s="8"/>
      <c r="B278" s="9">
        <v>225</v>
      </c>
      <c r="C278" s="6" t="str">
        <f>IFERROR(VLOOKUP(B278,[1]customers!$A:$B,2,0),"")</f>
        <v>Empire Castings Co.</v>
      </c>
      <c r="D278" s="9" t="s">
        <v>936</v>
      </c>
      <c r="E278" s="9" t="s">
        <v>955</v>
      </c>
      <c r="F278" s="9"/>
      <c r="G278" s="9" t="s">
        <v>956</v>
      </c>
      <c r="H278" s="9" t="s">
        <v>957</v>
      </c>
      <c r="I278" s="9"/>
      <c r="J278" s="10"/>
    </row>
    <row r="279" spans="1:10" ht="18" customHeight="1" x14ac:dyDescent="0.25">
      <c r="A279" s="4"/>
      <c r="B279" s="5">
        <v>226</v>
      </c>
      <c r="C279" s="6" t="str">
        <f>IFERROR(VLOOKUP(B279,[1]customers!$A:$B,2,0),"")</f>
        <v>Encore Plastics</v>
      </c>
      <c r="D279" s="5" t="s">
        <v>958</v>
      </c>
      <c r="E279" s="5" t="s">
        <v>959</v>
      </c>
      <c r="F279" s="5"/>
      <c r="G279" s="5" t="s">
        <v>960</v>
      </c>
      <c r="H279" s="5" t="s">
        <v>961</v>
      </c>
      <c r="I279" s="5"/>
      <c r="J279" s="7"/>
    </row>
    <row r="280" spans="1:10" ht="18" customHeight="1" x14ac:dyDescent="0.25">
      <c r="A280" s="8"/>
      <c r="B280" s="9">
        <v>227</v>
      </c>
      <c r="C280" s="6" t="str">
        <f>IFERROR(VLOOKUP(B280,[1]customers!$A:$B,2,0),"")</f>
        <v>Energy Control</v>
      </c>
      <c r="D280" s="9" t="s">
        <v>962</v>
      </c>
      <c r="E280" s="9" t="s">
        <v>963</v>
      </c>
      <c r="F280" s="9"/>
      <c r="G280" s="9"/>
      <c r="H280" s="9" t="s">
        <v>964</v>
      </c>
      <c r="I280" s="9" t="s">
        <v>965</v>
      </c>
      <c r="J280" s="10"/>
    </row>
    <row r="281" spans="1:10" ht="18" customHeight="1" x14ac:dyDescent="0.25">
      <c r="A281" s="4"/>
      <c r="B281" s="5">
        <v>228</v>
      </c>
      <c r="C281" s="6" t="str">
        <f>IFERROR(VLOOKUP(B281,[1]customers!$A:$B,2,0),"")</f>
        <v>Energy Focus</v>
      </c>
      <c r="D281" s="5" t="s">
        <v>966</v>
      </c>
      <c r="E281" s="5" t="s">
        <v>967</v>
      </c>
      <c r="F281" s="5"/>
      <c r="G281" s="5" t="s">
        <v>968</v>
      </c>
      <c r="H281" s="5" t="s">
        <v>969</v>
      </c>
      <c r="I281" s="5"/>
      <c r="J281" s="7"/>
    </row>
    <row r="282" spans="1:10" ht="18" customHeight="1" x14ac:dyDescent="0.25">
      <c r="A282" s="8"/>
      <c r="B282" s="9">
        <v>229</v>
      </c>
      <c r="C282" s="6" t="str">
        <f>IFERROR(VLOOKUP(B282,[1]customers!$A:$B,2,0),"")</f>
        <v>Engineered Plastic Components</v>
      </c>
      <c r="D282" s="9" t="s">
        <v>970</v>
      </c>
      <c r="E282" s="9" t="s">
        <v>971</v>
      </c>
      <c r="F282" s="9"/>
      <c r="G282" s="9" t="s">
        <v>972</v>
      </c>
      <c r="H282" s="9"/>
      <c r="I282" s="9">
        <v>4192121996</v>
      </c>
      <c r="J282" s="10"/>
    </row>
    <row r="283" spans="1:10" ht="18" customHeight="1" x14ac:dyDescent="0.25">
      <c r="A283" s="4"/>
      <c r="B283" s="5">
        <v>230</v>
      </c>
      <c r="C283" s="6" t="str">
        <f>IFERROR(VLOOKUP(B283,[1]customers!$A:$B,2,0),"")</f>
        <v>Enriquez Materials and Quilting</v>
      </c>
      <c r="D283" s="5" t="s">
        <v>973</v>
      </c>
      <c r="E283" s="5" t="s">
        <v>974</v>
      </c>
      <c r="F283" s="5"/>
      <c r="G283" s="5" t="s">
        <v>975</v>
      </c>
      <c r="H283" s="5"/>
      <c r="I283" s="5" t="s">
        <v>976</v>
      </c>
      <c r="J283" s="7"/>
    </row>
    <row r="284" spans="1:10" ht="18" customHeight="1" x14ac:dyDescent="0.25">
      <c r="A284" s="8"/>
      <c r="B284" s="9">
        <v>231</v>
      </c>
      <c r="C284" s="6" t="str">
        <f>IFERROR(VLOOKUP(B284,[1]customers!$A:$B,2,0),"")</f>
        <v>Enterprise Plastics</v>
      </c>
      <c r="D284" s="9" t="s">
        <v>977</v>
      </c>
      <c r="E284" s="9" t="s">
        <v>978</v>
      </c>
      <c r="F284" s="9"/>
      <c r="G284" s="9" t="s">
        <v>979</v>
      </c>
      <c r="H284" s="9" t="s">
        <v>980</v>
      </c>
      <c r="I284" s="9"/>
      <c r="J284" s="10"/>
    </row>
    <row r="285" spans="1:10" ht="18" customHeight="1" x14ac:dyDescent="0.25">
      <c r="A285" s="4"/>
      <c r="B285" s="5">
        <v>231</v>
      </c>
      <c r="C285" s="6" t="str">
        <f>IFERROR(VLOOKUP(B285,[1]customers!$A:$B,2,0),"")</f>
        <v>Enterprise Plastics</v>
      </c>
      <c r="D285" s="5" t="s">
        <v>977</v>
      </c>
      <c r="E285" s="5" t="s">
        <v>981</v>
      </c>
      <c r="F285" s="5"/>
      <c r="G285" s="5"/>
      <c r="H285" s="5" t="s">
        <v>982</v>
      </c>
      <c r="I285" s="5"/>
      <c r="J285" s="7"/>
    </row>
    <row r="286" spans="1:10" ht="18" customHeight="1" x14ac:dyDescent="0.25">
      <c r="A286" s="8"/>
      <c r="B286" s="9">
        <v>237</v>
      </c>
      <c r="C286" s="6" t="str">
        <f>IFERROR(VLOOKUP(B286,[1]customers!$A:$B,2,0),"")</f>
        <v>Essential Sealing Products</v>
      </c>
      <c r="D286" s="9" t="s">
        <v>983</v>
      </c>
      <c r="E286" s="9" t="s">
        <v>984</v>
      </c>
      <c r="F286" s="9"/>
      <c r="G286" s="9" t="s">
        <v>985</v>
      </c>
      <c r="H286" s="9" t="s">
        <v>986</v>
      </c>
      <c r="I286" s="9" t="s">
        <v>987</v>
      </c>
      <c r="J286" s="10"/>
    </row>
    <row r="287" spans="1:10" ht="18" customHeight="1" x14ac:dyDescent="0.25">
      <c r="A287" s="8"/>
      <c r="B287" s="9">
        <v>239</v>
      </c>
      <c r="C287" s="6" t="str">
        <f>IFERROR(VLOOKUP(B287,[1]customers!$A:$B,2,0),"")</f>
        <v>Eurecat US</v>
      </c>
      <c r="D287" s="9" t="s">
        <v>988</v>
      </c>
      <c r="E287" s="9" t="s">
        <v>989</v>
      </c>
      <c r="F287" s="9"/>
      <c r="G287" s="9" t="s">
        <v>990</v>
      </c>
      <c r="H287" s="9" t="s">
        <v>991</v>
      </c>
      <c r="I287" s="9"/>
      <c r="J287" s="10"/>
    </row>
    <row r="288" spans="1:10" ht="18" customHeight="1" x14ac:dyDescent="0.25">
      <c r="A288" s="4"/>
      <c r="B288" s="5">
        <v>240</v>
      </c>
      <c r="C288" s="6" t="str">
        <f>IFERROR(VLOOKUP(B288,[1]customers!$A:$B,2,0),"")</f>
        <v>Evans Industries</v>
      </c>
      <c r="D288" s="5" t="s">
        <v>992</v>
      </c>
      <c r="E288" s="5" t="s">
        <v>993</v>
      </c>
      <c r="F288" s="5"/>
      <c r="G288" s="5" t="s">
        <v>994</v>
      </c>
      <c r="H288" s="5"/>
      <c r="I288" s="5" t="s">
        <v>995</v>
      </c>
      <c r="J288" s="7"/>
    </row>
    <row r="289" spans="1:10" ht="18" customHeight="1" x14ac:dyDescent="0.25">
      <c r="A289" s="8"/>
      <c r="B289" s="9">
        <v>241</v>
      </c>
      <c r="C289" s="6" t="str">
        <f>IFERROR(VLOOKUP(B289,[1]customers!$A:$B,2,0),"")</f>
        <v>Ever Ready Pin &amp; Manufacturing</v>
      </c>
      <c r="D289" s="9" t="s">
        <v>996</v>
      </c>
      <c r="E289" s="9" t="s">
        <v>997</v>
      </c>
      <c r="F289" s="9"/>
      <c r="G289" s="9" t="s">
        <v>998</v>
      </c>
      <c r="H289" s="9" t="s">
        <v>999</v>
      </c>
      <c r="I289" s="9"/>
      <c r="J289" s="10"/>
    </row>
    <row r="290" spans="1:10" ht="18" customHeight="1" x14ac:dyDescent="0.25">
      <c r="A290" s="4"/>
      <c r="B290" s="5">
        <v>244</v>
      </c>
      <c r="C290" s="6" t="str">
        <f>IFERROR(VLOOKUP(B290,[1]customers!$A:$B,2,0),"")</f>
        <v>EX Factory</v>
      </c>
      <c r="D290" s="5" t="s">
        <v>1000</v>
      </c>
      <c r="E290" s="5" t="s">
        <v>1001</v>
      </c>
      <c r="F290" s="5"/>
      <c r="G290" s="5" t="s">
        <v>1002</v>
      </c>
      <c r="H290" s="5"/>
      <c r="I290" s="5" t="s">
        <v>1003</v>
      </c>
      <c r="J290" s="7"/>
    </row>
    <row r="291" spans="1:10" ht="18" customHeight="1" x14ac:dyDescent="0.25">
      <c r="A291" s="8"/>
      <c r="B291" s="9">
        <v>246</v>
      </c>
      <c r="C291" s="6" t="str">
        <f>IFERROR(VLOOKUP(B291,[1]customers!$A:$B,2,0),"")</f>
        <v>Excelsior Marking (Customer)</v>
      </c>
      <c r="D291" s="9" t="s">
        <v>1004</v>
      </c>
      <c r="E291" s="9" t="s">
        <v>1005</v>
      </c>
      <c r="F291" s="9"/>
      <c r="G291" s="9" t="s">
        <v>1006</v>
      </c>
      <c r="H291" s="9"/>
      <c r="I291" s="9" t="s">
        <v>1007</v>
      </c>
      <c r="J291" s="10"/>
    </row>
    <row r="292" spans="1:10" ht="18" customHeight="1" x14ac:dyDescent="0.25">
      <c r="A292" s="4"/>
      <c r="B292" s="5">
        <v>248</v>
      </c>
      <c r="C292" s="6" t="str">
        <f>IFERROR(VLOOKUP(B292,[1]customers!$A:$B,2,0),"")</f>
        <v>Expressway Logistics</v>
      </c>
      <c r="D292" s="5" t="s">
        <v>1008</v>
      </c>
      <c r="E292" s="5" t="s">
        <v>1009</v>
      </c>
      <c r="F292" s="5"/>
      <c r="G292" s="5"/>
      <c r="H292" s="5"/>
      <c r="I292" s="5" t="s">
        <v>1010</v>
      </c>
      <c r="J292" s="7"/>
    </row>
    <row r="293" spans="1:10" ht="18" customHeight="1" x14ac:dyDescent="0.25">
      <c r="A293" s="8"/>
      <c r="B293" s="9">
        <v>249</v>
      </c>
      <c r="C293" s="6" t="str">
        <f>IFERROR(VLOOKUP(B293,[1]customers!$A:$B,2,0),"")</f>
        <v>ExSpar Inc</v>
      </c>
      <c r="D293" s="9" t="s">
        <v>1011</v>
      </c>
      <c r="E293" s="9" t="s">
        <v>1012</v>
      </c>
      <c r="F293" s="9"/>
      <c r="G293" s="9" t="s">
        <v>1013</v>
      </c>
      <c r="H293" s="9"/>
      <c r="I293" s="9"/>
      <c r="J293" s="10"/>
    </row>
    <row r="294" spans="1:10" ht="18" customHeight="1" x14ac:dyDescent="0.25">
      <c r="A294" s="4"/>
      <c r="B294" s="5">
        <v>250</v>
      </c>
      <c r="C294" s="6" t="str">
        <f>IFERROR(VLOOKUP(B294,[1]customers!$A:$B,2,0),"")</f>
        <v>Falcon Industries</v>
      </c>
      <c r="D294" s="5" t="s">
        <v>1014</v>
      </c>
      <c r="E294" s="5" t="s">
        <v>1015</v>
      </c>
      <c r="F294" s="5"/>
      <c r="G294" s="5" t="s">
        <v>1016</v>
      </c>
      <c r="H294" s="5" t="s">
        <v>1017</v>
      </c>
      <c r="I294" s="5" t="s">
        <v>1018</v>
      </c>
      <c r="J294" s="7"/>
    </row>
    <row r="295" spans="1:10" ht="18" customHeight="1" x14ac:dyDescent="0.25">
      <c r="A295" s="8"/>
      <c r="B295" s="9">
        <v>251</v>
      </c>
      <c r="C295" s="6" t="str">
        <f>IFERROR(VLOOKUP(B295,[1]customers!$A:$B,2,0),"")</f>
        <v>Falls Stamping &amp; Welding Co</v>
      </c>
      <c r="D295" s="9" t="s">
        <v>1019</v>
      </c>
      <c r="E295" s="9" t="s">
        <v>1020</v>
      </c>
      <c r="F295" s="9"/>
      <c r="G295" s="9" t="s">
        <v>1021</v>
      </c>
      <c r="H295" s="9"/>
      <c r="I295" s="9" t="s">
        <v>1022</v>
      </c>
      <c r="J295" s="10"/>
    </row>
    <row r="296" spans="1:10" ht="18" customHeight="1" x14ac:dyDescent="0.25">
      <c r="A296" s="8"/>
      <c r="B296" s="9">
        <v>252</v>
      </c>
      <c r="C296" s="6" t="str">
        <f>IFERROR(VLOOKUP(B296,[1]customers!$A:$B,2,0),"")</f>
        <v>Fastener Technology</v>
      </c>
      <c r="D296" s="9" t="s">
        <v>1023</v>
      </c>
      <c r="E296" s="9" t="s">
        <v>1024</v>
      </c>
      <c r="F296" s="9"/>
      <c r="G296" s="9" t="s">
        <v>1025</v>
      </c>
      <c r="H296" s="9"/>
      <c r="I296" s="9" t="s">
        <v>1026</v>
      </c>
      <c r="J296" s="10"/>
    </row>
    <row r="297" spans="1:10" ht="18" customHeight="1" x14ac:dyDescent="0.25">
      <c r="A297" s="4"/>
      <c r="B297" s="5">
        <v>255</v>
      </c>
      <c r="C297" s="6" t="str">
        <f>IFERROR(VLOOKUP(B297,[1]customers!$A:$B,2,0),"")</f>
        <v>Federal Equipment</v>
      </c>
      <c r="D297" s="5" t="s">
        <v>1027</v>
      </c>
      <c r="E297" s="5" t="s">
        <v>1028</v>
      </c>
      <c r="F297" s="5"/>
      <c r="G297" s="5" t="s">
        <v>1029</v>
      </c>
      <c r="H297" s="5" t="s">
        <v>1030</v>
      </c>
      <c r="I297" s="5" t="s">
        <v>1031</v>
      </c>
      <c r="J297" s="7"/>
    </row>
    <row r="298" spans="1:10" ht="18" customHeight="1" x14ac:dyDescent="0.25">
      <c r="A298" s="8"/>
      <c r="B298" s="9">
        <v>255</v>
      </c>
      <c r="C298" s="6" t="str">
        <f>IFERROR(VLOOKUP(B298,[1]customers!$A:$B,2,0),"")</f>
        <v>Federal Equipment</v>
      </c>
      <c r="D298" s="9" t="s">
        <v>1027</v>
      </c>
      <c r="E298" s="9" t="s">
        <v>1032</v>
      </c>
      <c r="F298" s="9"/>
      <c r="G298" s="9" t="s">
        <v>1033</v>
      </c>
      <c r="H298" s="9" t="s">
        <v>1034</v>
      </c>
      <c r="I298" s="9"/>
      <c r="J298" s="10"/>
    </row>
    <row r="299" spans="1:10" ht="18" customHeight="1" x14ac:dyDescent="0.25">
      <c r="A299" s="4"/>
      <c r="B299" s="5">
        <v>256</v>
      </c>
      <c r="C299" s="6" t="str">
        <f>IFERROR(VLOOKUP(B299,[1]customers!$A:$B,2,0),"")</f>
        <v>Fenner Dunlop Toledo</v>
      </c>
      <c r="D299" s="5" t="s">
        <v>1035</v>
      </c>
      <c r="E299" s="5" t="s">
        <v>1036</v>
      </c>
      <c r="F299" s="5"/>
      <c r="G299" s="5" t="s">
        <v>1037</v>
      </c>
      <c r="H299" s="5"/>
      <c r="I299" s="5"/>
      <c r="J299" s="7"/>
    </row>
    <row r="300" spans="1:10" ht="18" customHeight="1" x14ac:dyDescent="0.25">
      <c r="A300" s="8"/>
      <c r="B300" s="9">
        <v>256</v>
      </c>
      <c r="C300" s="6" t="str">
        <f>IFERROR(VLOOKUP(B300,[1]customers!$A:$B,2,0),"")</f>
        <v>Fenner Dunlop Toledo</v>
      </c>
      <c r="D300" s="9" t="s">
        <v>1035</v>
      </c>
      <c r="E300" s="9" t="s">
        <v>870</v>
      </c>
      <c r="F300" s="9"/>
      <c r="G300" s="9"/>
      <c r="H300" s="9"/>
      <c r="I300" s="9">
        <v>3305156076</v>
      </c>
      <c r="J300" s="10"/>
    </row>
    <row r="301" spans="1:10" ht="18" customHeight="1" x14ac:dyDescent="0.25">
      <c r="A301" s="8"/>
      <c r="B301" s="9">
        <v>257</v>
      </c>
      <c r="C301" s="6" t="str">
        <f>IFERROR(VLOOKUP(B301,[1]customers!$A:$B,2,0),"")</f>
        <v>Ferriot Inc</v>
      </c>
      <c r="D301" s="9" t="s">
        <v>1038</v>
      </c>
      <c r="E301" s="9" t="s">
        <v>1039</v>
      </c>
      <c r="F301" s="9"/>
      <c r="G301" s="9"/>
      <c r="H301" s="9" t="s">
        <v>1040</v>
      </c>
      <c r="I301" s="9" t="s">
        <v>1041</v>
      </c>
      <c r="J301" s="10"/>
    </row>
    <row r="302" spans="1:10" ht="18" customHeight="1" x14ac:dyDescent="0.25">
      <c r="A302" s="4"/>
      <c r="B302" s="5">
        <v>257</v>
      </c>
      <c r="C302" s="6" t="str">
        <f>IFERROR(VLOOKUP(B302,[1]customers!$A:$B,2,0),"")</f>
        <v>Ferriot Inc</v>
      </c>
      <c r="D302" s="5" t="s">
        <v>1038</v>
      </c>
      <c r="E302" s="5" t="s">
        <v>1042</v>
      </c>
      <c r="F302" s="5"/>
      <c r="G302" s="5" t="s">
        <v>1043</v>
      </c>
      <c r="H302" s="5">
        <v>3309360170</v>
      </c>
      <c r="I302" s="5">
        <v>3307863051</v>
      </c>
      <c r="J302" s="7"/>
    </row>
    <row r="303" spans="1:10" ht="18" customHeight="1" x14ac:dyDescent="0.25">
      <c r="A303" s="8"/>
      <c r="B303" s="9">
        <v>257</v>
      </c>
      <c r="C303" s="6" t="str">
        <f>IFERROR(VLOOKUP(B303,[1]customers!$A:$B,2,0),"")</f>
        <v>Ferriot Inc</v>
      </c>
      <c r="D303" s="9" t="s">
        <v>1038</v>
      </c>
      <c r="E303" s="9" t="s">
        <v>1044</v>
      </c>
      <c r="F303" s="9"/>
      <c r="G303" s="9" t="s">
        <v>1045</v>
      </c>
      <c r="H303" s="9"/>
      <c r="I303" s="9" t="s">
        <v>1046</v>
      </c>
      <c r="J303" s="10"/>
    </row>
    <row r="304" spans="1:10" ht="18" customHeight="1" x14ac:dyDescent="0.25">
      <c r="A304" s="8"/>
      <c r="B304" s="9">
        <v>259</v>
      </c>
      <c r="C304" s="6" t="str">
        <f>IFERROR(VLOOKUP(B304,[1]customers!$A:$B,2,0),"")</f>
        <v>First Class Trading LLC</v>
      </c>
      <c r="D304" s="9" t="s">
        <v>1047</v>
      </c>
      <c r="E304" s="9" t="s">
        <v>1048</v>
      </c>
      <c r="F304" s="9"/>
      <c r="G304" s="9" t="s">
        <v>1049</v>
      </c>
      <c r="H304" s="9"/>
      <c r="I304" s="9" t="s">
        <v>1050</v>
      </c>
      <c r="J304" s="10"/>
    </row>
    <row r="305" spans="1:10" ht="18" customHeight="1" x14ac:dyDescent="0.25">
      <c r="A305" s="4"/>
      <c r="B305" s="5">
        <v>260</v>
      </c>
      <c r="C305" s="6" t="str">
        <f>IFERROR(VLOOKUP(B305,[1]customers!$A:$B,2,0),"")</f>
        <v>Fives Intalogistics Corp</v>
      </c>
      <c r="D305" s="5" t="s">
        <v>1051</v>
      </c>
      <c r="E305" s="5" t="s">
        <v>1052</v>
      </c>
      <c r="F305" s="5"/>
      <c r="G305" s="5" t="s">
        <v>1053</v>
      </c>
      <c r="H305" s="5"/>
      <c r="I305" s="5" t="s">
        <v>1054</v>
      </c>
      <c r="J305" s="7"/>
    </row>
    <row r="306" spans="1:10" ht="18" customHeight="1" x14ac:dyDescent="0.25">
      <c r="A306" s="8"/>
      <c r="B306" s="9">
        <v>262</v>
      </c>
      <c r="C306" s="6" t="str">
        <f>IFERROR(VLOOKUP(B306,[1]customers!$A:$B,2,0),"")</f>
        <v>Flambeau Inc</v>
      </c>
      <c r="D306" s="9" t="s">
        <v>1055</v>
      </c>
      <c r="E306" s="9" t="s">
        <v>1056</v>
      </c>
      <c r="F306" s="9"/>
      <c r="G306" s="9"/>
      <c r="H306" s="9"/>
      <c r="I306" s="9"/>
      <c r="J306" s="10"/>
    </row>
    <row r="307" spans="1:10" ht="18" customHeight="1" x14ac:dyDescent="0.25">
      <c r="A307" s="4"/>
      <c r="B307" s="5">
        <v>262</v>
      </c>
      <c r="C307" s="6" t="str">
        <f>IFERROR(VLOOKUP(B307,[1]customers!$A:$B,2,0),"")</f>
        <v>Flambeau Inc</v>
      </c>
      <c r="D307" s="5" t="s">
        <v>1055</v>
      </c>
      <c r="E307" s="5" t="s">
        <v>1057</v>
      </c>
      <c r="F307" s="5"/>
      <c r="G307" s="5" t="s">
        <v>1058</v>
      </c>
      <c r="H307" s="5"/>
      <c r="I307" s="5" t="s">
        <v>1059</v>
      </c>
      <c r="J307" s="7"/>
    </row>
    <row r="308" spans="1:10" ht="18" customHeight="1" x14ac:dyDescent="0.25">
      <c r="A308" s="8"/>
      <c r="B308" s="9">
        <v>262</v>
      </c>
      <c r="C308" s="6" t="str">
        <f>IFERROR(VLOOKUP(B308,[1]customers!$A:$B,2,0),"")</f>
        <v>Flambeau Inc</v>
      </c>
      <c r="D308" s="9" t="s">
        <v>1055</v>
      </c>
      <c r="E308" s="9" t="s">
        <v>1060</v>
      </c>
      <c r="F308" s="9"/>
      <c r="G308" s="9"/>
      <c r="H308" s="9"/>
      <c r="I308" s="9" t="s">
        <v>1061</v>
      </c>
      <c r="J308" s="10"/>
    </row>
    <row r="309" spans="1:10" ht="18" customHeight="1" x14ac:dyDescent="0.25">
      <c r="A309" s="4"/>
      <c r="B309" s="5">
        <v>262</v>
      </c>
      <c r="C309" s="6" t="str">
        <f>IFERROR(VLOOKUP(B309,[1]customers!$A:$B,2,0),"")</f>
        <v>Flambeau Inc</v>
      </c>
      <c r="D309" s="5" t="s">
        <v>1055</v>
      </c>
      <c r="E309" s="5" t="s">
        <v>1060</v>
      </c>
      <c r="F309" s="5"/>
      <c r="G309" s="5"/>
      <c r="H309" s="5"/>
      <c r="I309" s="5" t="s">
        <v>1061</v>
      </c>
      <c r="J309" s="7"/>
    </row>
    <row r="310" spans="1:10" ht="18" customHeight="1" x14ac:dyDescent="0.25">
      <c r="A310" s="8"/>
      <c r="B310" s="9">
        <v>264</v>
      </c>
      <c r="C310" s="6" t="str">
        <f>IFERROR(VLOOKUP(B310,[1]customers!$A:$B,2,0),"")</f>
        <v>Flohr Machine Company</v>
      </c>
      <c r="D310" s="9" t="s">
        <v>1062</v>
      </c>
      <c r="E310" s="9" t="s">
        <v>1063</v>
      </c>
      <c r="F310" s="9"/>
      <c r="G310" s="9" t="s">
        <v>1064</v>
      </c>
      <c r="H310" s="9"/>
      <c r="I310" s="9" t="s">
        <v>1065</v>
      </c>
      <c r="J310" s="10"/>
    </row>
    <row r="311" spans="1:10" ht="18" customHeight="1" x14ac:dyDescent="0.25">
      <c r="A311" s="4"/>
      <c r="B311" s="5">
        <v>264</v>
      </c>
      <c r="C311" s="6" t="str">
        <f>IFERROR(VLOOKUP(B311,[1]customers!$A:$B,2,0),"")</f>
        <v>Flohr Machine Company</v>
      </c>
      <c r="D311" s="5" t="s">
        <v>1062</v>
      </c>
      <c r="E311" s="5" t="s">
        <v>1063</v>
      </c>
      <c r="F311" s="5"/>
      <c r="G311" s="5" t="s">
        <v>1064</v>
      </c>
      <c r="H311" s="5"/>
      <c r="I311" s="5" t="s">
        <v>1065</v>
      </c>
      <c r="J311" s="7"/>
    </row>
    <row r="312" spans="1:10" ht="18" customHeight="1" x14ac:dyDescent="0.25">
      <c r="A312" s="8"/>
      <c r="B312" s="9">
        <v>265</v>
      </c>
      <c r="C312" s="6" t="str">
        <f>IFERROR(VLOOKUP(B312,[1]customers!$A:$B,2,0),"")</f>
        <v>Flow Polymer</v>
      </c>
      <c r="D312" s="9" t="s">
        <v>1066</v>
      </c>
      <c r="E312" s="9" t="s">
        <v>1067</v>
      </c>
      <c r="F312" s="9"/>
      <c r="G312" s="9"/>
      <c r="H312" s="9" t="s">
        <v>1068</v>
      </c>
      <c r="I312" s="9"/>
      <c r="J312" s="10"/>
    </row>
    <row r="313" spans="1:10" ht="18" customHeight="1" x14ac:dyDescent="0.25">
      <c r="A313" s="4"/>
      <c r="B313" s="5">
        <v>265</v>
      </c>
      <c r="C313" s="6" t="str">
        <f>IFERROR(VLOOKUP(B313,[1]customers!$A:$B,2,0),"")</f>
        <v>Flow Polymer</v>
      </c>
      <c r="D313" s="5" t="s">
        <v>1066</v>
      </c>
      <c r="E313" s="5" t="s">
        <v>1069</v>
      </c>
      <c r="F313" s="5"/>
      <c r="G313" s="5"/>
      <c r="H313" s="5" t="s">
        <v>1070</v>
      </c>
      <c r="I313" s="5"/>
      <c r="J313" s="7"/>
    </row>
    <row r="314" spans="1:10" ht="18" customHeight="1" x14ac:dyDescent="0.25">
      <c r="A314" s="8"/>
      <c r="B314" s="9">
        <v>265</v>
      </c>
      <c r="C314" s="6" t="str">
        <f>IFERROR(VLOOKUP(B314,[1]customers!$A:$B,2,0),"")</f>
        <v>Flow Polymer</v>
      </c>
      <c r="D314" s="9" t="s">
        <v>1066</v>
      </c>
      <c r="E314" s="9" t="s">
        <v>1071</v>
      </c>
      <c r="F314" s="9"/>
      <c r="G314" s="9" t="s">
        <v>1072</v>
      </c>
      <c r="H314" s="9" t="s">
        <v>1073</v>
      </c>
      <c r="I314" s="9" t="s">
        <v>1074</v>
      </c>
      <c r="J314" s="10"/>
    </row>
    <row r="315" spans="1:10" ht="18" customHeight="1" x14ac:dyDescent="0.25">
      <c r="A315" s="8"/>
      <c r="B315" s="9">
        <v>267</v>
      </c>
      <c r="C315" s="6" t="str">
        <f>IFERROR(VLOOKUP(B315,[1]customers!$A:$B,2,0),"")</f>
        <v>Foundations Industries</v>
      </c>
      <c r="D315" s="9" t="s">
        <v>1075</v>
      </c>
      <c r="E315" s="9" t="s">
        <v>1076</v>
      </c>
      <c r="F315" s="9"/>
      <c r="G315" s="9" t="s">
        <v>1077</v>
      </c>
      <c r="H315" s="9" t="s">
        <v>1078</v>
      </c>
      <c r="I315" s="9"/>
      <c r="J315" s="10"/>
    </row>
    <row r="316" spans="1:10" ht="18" customHeight="1" x14ac:dyDescent="0.25">
      <c r="A316" s="4"/>
      <c r="B316" s="5">
        <v>267</v>
      </c>
      <c r="C316" s="6" t="str">
        <f>IFERROR(VLOOKUP(B316,[1]customers!$A:$B,2,0),"")</f>
        <v>Foundations Industries</v>
      </c>
      <c r="D316" s="5" t="s">
        <v>1075</v>
      </c>
      <c r="E316" s="5" t="s">
        <v>1079</v>
      </c>
      <c r="F316" s="5"/>
      <c r="G316" s="5"/>
      <c r="H316" s="5"/>
      <c r="I316" s="5"/>
      <c r="J316" s="7"/>
    </row>
    <row r="317" spans="1:10" ht="18" customHeight="1" x14ac:dyDescent="0.25">
      <c r="A317" s="8"/>
      <c r="B317" s="9">
        <v>267</v>
      </c>
      <c r="C317" s="6" t="str">
        <f>IFERROR(VLOOKUP(B317,[1]customers!$A:$B,2,0),"")</f>
        <v>Foundations Industries</v>
      </c>
      <c r="D317" s="9" t="s">
        <v>1075</v>
      </c>
      <c r="E317" s="9" t="s">
        <v>1080</v>
      </c>
      <c r="F317" s="9"/>
      <c r="G317" s="9" t="s">
        <v>1081</v>
      </c>
      <c r="H317" s="9"/>
      <c r="I317" s="9" t="s">
        <v>1082</v>
      </c>
      <c r="J317" s="10"/>
    </row>
    <row r="318" spans="1:10" ht="18" customHeight="1" x14ac:dyDescent="0.25">
      <c r="A318" s="4"/>
      <c r="B318" s="5">
        <v>268</v>
      </c>
      <c r="C318" s="6" t="str">
        <f>IFERROR(VLOOKUP(B318,[1]customers!$A:$B,2,0),"")</f>
        <v>Four Seasons Manufacturing</v>
      </c>
      <c r="D318" s="5" t="s">
        <v>1083</v>
      </c>
      <c r="E318" s="5" t="s">
        <v>1084</v>
      </c>
      <c r="F318" s="5"/>
      <c r="G318" s="5" t="s">
        <v>1085</v>
      </c>
      <c r="H318" s="5"/>
      <c r="I318" s="5">
        <v>3309771888</v>
      </c>
      <c r="J318" s="7"/>
    </row>
    <row r="319" spans="1:10" ht="18" customHeight="1" x14ac:dyDescent="0.25">
      <c r="A319" s="8"/>
      <c r="B319" s="9">
        <v>269</v>
      </c>
      <c r="C319" s="6" t="str">
        <f>IFERROR(VLOOKUP(B319,[1]customers!$A:$B,2,0),"")</f>
        <v>FP Miller Co</v>
      </c>
      <c r="D319" s="9" t="s">
        <v>1086</v>
      </c>
      <c r="E319" s="9" t="s">
        <v>1087</v>
      </c>
      <c r="F319" s="9"/>
      <c r="G319" s="9" t="s">
        <v>1088</v>
      </c>
      <c r="H319" s="9"/>
      <c r="I319" s="9" t="s">
        <v>1089</v>
      </c>
      <c r="J319" s="10"/>
    </row>
    <row r="320" spans="1:10" ht="18" customHeight="1" x14ac:dyDescent="0.25">
      <c r="A320" s="4"/>
      <c r="B320" s="5">
        <v>270</v>
      </c>
      <c r="C320" s="6" t="str">
        <f>IFERROR(VLOOKUP(B320,[1]customers!$A:$B,2,0),"")</f>
        <v>Freedom Forklift Sales</v>
      </c>
      <c r="D320" s="5" t="s">
        <v>1090</v>
      </c>
      <c r="E320" s="5" t="s">
        <v>1091</v>
      </c>
      <c r="F320" s="5"/>
      <c r="G320" s="5" t="s">
        <v>1092</v>
      </c>
      <c r="H320" s="5"/>
      <c r="I320" s="5" t="s">
        <v>1093</v>
      </c>
      <c r="J320" s="7"/>
    </row>
    <row r="321" spans="1:10" ht="18" customHeight="1" x14ac:dyDescent="0.25">
      <c r="A321" s="8"/>
      <c r="B321" s="9">
        <v>271</v>
      </c>
      <c r="C321" s="6" t="str">
        <f>IFERROR(VLOOKUP(B321,[1]customers!$A:$B,2,0),"")</f>
        <v>Freund Baking Company</v>
      </c>
      <c r="D321" s="9" t="s">
        <v>1094</v>
      </c>
      <c r="E321" s="9" t="s">
        <v>1095</v>
      </c>
      <c r="F321" s="9"/>
      <c r="G321" s="9" t="s">
        <v>1096</v>
      </c>
      <c r="H321" s="9"/>
      <c r="I321" s="9" t="s">
        <v>1097</v>
      </c>
      <c r="J321" s="10"/>
    </row>
    <row r="322" spans="1:10" ht="18" customHeight="1" x14ac:dyDescent="0.25">
      <c r="A322" s="4"/>
      <c r="B322" s="5">
        <v>273</v>
      </c>
      <c r="C322" s="6" t="str">
        <f>IFERROR(VLOOKUP(B322,[1]customers!$A:$B,2,0),"")</f>
        <v>Fulton Properties of Ohio, LLC</v>
      </c>
      <c r="D322" s="5" t="s">
        <v>1098</v>
      </c>
      <c r="E322" s="5" t="s">
        <v>1099</v>
      </c>
      <c r="F322" s="5"/>
      <c r="G322" s="5" t="s">
        <v>1100</v>
      </c>
      <c r="H322" s="5"/>
      <c r="I322" s="5" t="s">
        <v>1101</v>
      </c>
      <c r="J322" s="7"/>
    </row>
    <row r="323" spans="1:10" ht="18" customHeight="1" x14ac:dyDescent="0.25">
      <c r="A323" s="8"/>
      <c r="B323" s="9">
        <v>274</v>
      </c>
      <c r="C323" s="6" t="str">
        <f>IFERROR(VLOOKUP(B323,[1]customers!$A:$B,2,0),"")</f>
        <v>Fun-N-Stuff</v>
      </c>
      <c r="D323" s="9" t="s">
        <v>1102</v>
      </c>
      <c r="E323" s="9" t="s">
        <v>1103</v>
      </c>
      <c r="F323" s="9"/>
      <c r="G323" s="9" t="s">
        <v>1104</v>
      </c>
      <c r="H323" s="9"/>
      <c r="I323" s="9" t="s">
        <v>1105</v>
      </c>
      <c r="J323" s="10"/>
    </row>
    <row r="324" spans="1:10" ht="18" customHeight="1" x14ac:dyDescent="0.25">
      <c r="A324" s="4"/>
      <c r="B324" s="5">
        <v>610</v>
      </c>
      <c r="C324" s="6" t="str">
        <f>IFERROR(VLOOKUP(B324,[1]customers!$A:$B,2,0),"")</f>
        <v>Seal Company</v>
      </c>
      <c r="D324" s="5" t="s">
        <v>1106</v>
      </c>
      <c r="E324" s="5" t="s">
        <v>1107</v>
      </c>
      <c r="F324" s="5"/>
      <c r="G324" s="5" t="s">
        <v>1108</v>
      </c>
      <c r="H324" s="5"/>
      <c r="I324" s="5" t="s">
        <v>1109</v>
      </c>
      <c r="J324" s="7"/>
    </row>
    <row r="325" spans="1:10" ht="18" customHeight="1" x14ac:dyDescent="0.25">
      <c r="A325" s="8"/>
      <c r="B325" s="9">
        <v>610</v>
      </c>
      <c r="C325" s="6" t="str">
        <f>IFERROR(VLOOKUP(B325,[1]customers!$A:$B,2,0),"")</f>
        <v>Seal Company</v>
      </c>
      <c r="D325" s="9" t="s">
        <v>1106</v>
      </c>
      <c r="E325" s="9" t="s">
        <v>1110</v>
      </c>
      <c r="F325" s="9"/>
      <c r="G325" s="9"/>
      <c r="H325" s="9"/>
      <c r="I325" s="9" t="s">
        <v>1111</v>
      </c>
      <c r="J325" s="10"/>
    </row>
    <row r="326" spans="1:10" ht="18" customHeight="1" x14ac:dyDescent="0.25">
      <c r="A326" s="4"/>
      <c r="B326" s="5">
        <v>275</v>
      </c>
      <c r="C326" s="6" t="str">
        <f>IFERROR(VLOOKUP(B326,[1]customers!$A:$B,2,0),"")</f>
        <v>G3 Mixing Technologies</v>
      </c>
      <c r="D326" s="5" t="s">
        <v>1112</v>
      </c>
      <c r="E326" s="5" t="s">
        <v>1113</v>
      </c>
      <c r="F326" s="5"/>
      <c r="G326" s="5" t="s">
        <v>1114</v>
      </c>
      <c r="H326" s="5"/>
      <c r="I326" s="5" t="s">
        <v>1115</v>
      </c>
      <c r="J326" s="7"/>
    </row>
    <row r="327" spans="1:10" ht="18" customHeight="1" x14ac:dyDescent="0.25">
      <c r="A327" s="8"/>
      <c r="B327" s="9">
        <v>275</v>
      </c>
      <c r="C327" s="6" t="str">
        <f>IFERROR(VLOOKUP(B327,[1]customers!$A:$B,2,0),"")</f>
        <v>G3 Mixing Technologies</v>
      </c>
      <c r="D327" s="9" t="s">
        <v>1112</v>
      </c>
      <c r="E327" s="9" t="s">
        <v>1116</v>
      </c>
      <c r="F327" s="9"/>
      <c r="G327" s="9" t="s">
        <v>1117</v>
      </c>
      <c r="H327" s="9" t="s">
        <v>1115</v>
      </c>
      <c r="I327" s="9" t="s">
        <v>1118</v>
      </c>
      <c r="J327" s="10"/>
    </row>
    <row r="328" spans="1:10" ht="18" customHeight="1" x14ac:dyDescent="0.25">
      <c r="A328" s="4"/>
      <c r="B328" s="5">
        <v>275</v>
      </c>
      <c r="C328" s="6" t="str">
        <f>IFERROR(VLOOKUP(B328,[1]customers!$A:$B,2,0),"")</f>
        <v>G3 Mixing Technologies</v>
      </c>
      <c r="D328" s="5" t="s">
        <v>1112</v>
      </c>
      <c r="E328" s="5" t="s">
        <v>1119</v>
      </c>
      <c r="F328" s="5"/>
      <c r="G328" s="5" t="s">
        <v>1120</v>
      </c>
      <c r="H328" s="5"/>
      <c r="I328" s="5" t="s">
        <v>1118</v>
      </c>
      <c r="J328" s="7"/>
    </row>
    <row r="329" spans="1:10" ht="18" customHeight="1" x14ac:dyDescent="0.25">
      <c r="A329" s="4"/>
      <c r="B329" s="5">
        <v>276</v>
      </c>
      <c r="C329" s="6" t="str">
        <f>IFERROR(VLOOKUP(B329,[1]customers!$A:$B,2,0),"")</f>
        <v>Gahanna-Jefferson City Schools</v>
      </c>
      <c r="D329" s="5" t="s">
        <v>1121</v>
      </c>
      <c r="E329" s="5" t="s">
        <v>1122</v>
      </c>
      <c r="F329" s="5"/>
      <c r="G329" s="5" t="s">
        <v>1123</v>
      </c>
      <c r="H329" s="5"/>
      <c r="I329" s="5" t="s">
        <v>1124</v>
      </c>
      <c r="J329" s="7"/>
    </row>
    <row r="330" spans="1:10" ht="18" customHeight="1" x14ac:dyDescent="0.25">
      <c r="A330" s="8"/>
      <c r="B330" s="9">
        <v>277</v>
      </c>
      <c r="C330" s="6" t="str">
        <f>IFERROR(VLOOKUP(B330,[1]customers!$A:$B,2,0),"")</f>
        <v>GCS Industrial Services, LTD</v>
      </c>
      <c r="D330" s="9" t="s">
        <v>1125</v>
      </c>
      <c r="E330" s="9" t="s">
        <v>1126</v>
      </c>
      <c r="F330" s="9"/>
      <c r="G330" s="9" t="s">
        <v>1127</v>
      </c>
      <c r="H330" s="9" t="s">
        <v>1128</v>
      </c>
      <c r="I330" s="9"/>
      <c r="J330" s="10"/>
    </row>
    <row r="331" spans="1:10" ht="18" customHeight="1" x14ac:dyDescent="0.25">
      <c r="A331" s="4"/>
      <c r="B331" s="5">
        <v>277</v>
      </c>
      <c r="C331" s="6" t="str">
        <f>IFERROR(VLOOKUP(B331,[1]customers!$A:$B,2,0),"")</f>
        <v>GCS Industrial Services, LTD</v>
      </c>
      <c r="D331" s="5" t="s">
        <v>1125</v>
      </c>
      <c r="E331" s="5" t="s">
        <v>1129</v>
      </c>
      <c r="F331" s="5"/>
      <c r="G331" s="5"/>
      <c r="H331" s="5" t="s">
        <v>1130</v>
      </c>
      <c r="I331" s="5"/>
      <c r="J331" s="7"/>
    </row>
    <row r="332" spans="1:10" ht="18" customHeight="1" x14ac:dyDescent="0.25">
      <c r="A332" s="8"/>
      <c r="B332" s="9">
        <v>278</v>
      </c>
      <c r="C332" s="6" t="str">
        <f>IFERROR(VLOOKUP(B332,[1]customers!$A:$B,2,0),"")</f>
        <v>Gear Products</v>
      </c>
      <c r="D332" s="9" t="s">
        <v>1131</v>
      </c>
      <c r="E332" s="9" t="s">
        <v>1132</v>
      </c>
      <c r="F332" s="9"/>
      <c r="G332" s="9" t="s">
        <v>1133</v>
      </c>
      <c r="H332" s="9" t="s">
        <v>1134</v>
      </c>
      <c r="I332" s="9"/>
      <c r="J332" s="10"/>
    </row>
    <row r="333" spans="1:10" ht="18" customHeight="1" x14ac:dyDescent="0.25">
      <c r="A333" s="4"/>
      <c r="B333" s="5">
        <v>279</v>
      </c>
      <c r="C333" s="6" t="str">
        <f>IFERROR(VLOOKUP(B333,[1]customers!$A:$B,2,0),"")</f>
        <v>GED Integrated Solutions</v>
      </c>
      <c r="D333" s="5" t="s">
        <v>1135</v>
      </c>
      <c r="E333" s="5" t="s">
        <v>1136</v>
      </c>
      <c r="F333" s="5"/>
      <c r="G333" s="5" t="s">
        <v>1137</v>
      </c>
      <c r="H333" s="5" t="s">
        <v>1138</v>
      </c>
      <c r="I333" s="5" t="s">
        <v>1139</v>
      </c>
      <c r="J333" s="7"/>
    </row>
    <row r="334" spans="1:10" ht="18" customHeight="1" x14ac:dyDescent="0.25">
      <c r="A334" s="8"/>
      <c r="B334" s="9">
        <v>280</v>
      </c>
      <c r="C334" s="6" t="str">
        <f>IFERROR(VLOOKUP(B334,[1]customers!$A:$B,2,0),"")</f>
        <v>General Aluminum</v>
      </c>
      <c r="D334" s="9" t="s">
        <v>1140</v>
      </c>
      <c r="E334" s="9" t="s">
        <v>1141</v>
      </c>
      <c r="F334" s="9"/>
      <c r="G334" s="9" t="s">
        <v>1142</v>
      </c>
      <c r="H334" s="9" t="s">
        <v>1143</v>
      </c>
      <c r="I334" s="9" t="s">
        <v>1144</v>
      </c>
      <c r="J334" s="10"/>
    </row>
    <row r="335" spans="1:10" ht="18" customHeight="1" x14ac:dyDescent="0.25">
      <c r="A335" s="4"/>
      <c r="B335" s="5">
        <v>280</v>
      </c>
      <c r="C335" s="6" t="str">
        <f>IFERROR(VLOOKUP(B335,[1]customers!$A:$B,2,0),"")</f>
        <v>General Aluminum</v>
      </c>
      <c r="D335" s="5" t="s">
        <v>1140</v>
      </c>
      <c r="E335" s="5" t="s">
        <v>1145</v>
      </c>
      <c r="F335" s="5"/>
      <c r="G335" s="5"/>
      <c r="H335" s="5" t="s">
        <v>1146</v>
      </c>
      <c r="I335" s="5"/>
      <c r="J335" s="7"/>
    </row>
    <row r="336" spans="1:10" ht="18" customHeight="1" x14ac:dyDescent="0.25">
      <c r="A336" s="8"/>
      <c r="B336" s="9">
        <v>280</v>
      </c>
      <c r="C336" s="6" t="str">
        <f>IFERROR(VLOOKUP(B336,[1]customers!$A:$B,2,0),"")</f>
        <v>General Aluminum</v>
      </c>
      <c r="D336" s="9" t="s">
        <v>1140</v>
      </c>
      <c r="E336" s="9" t="s">
        <v>1147</v>
      </c>
      <c r="F336" s="9"/>
      <c r="G336" s="9" t="s">
        <v>1148</v>
      </c>
      <c r="H336" s="9"/>
      <c r="I336" s="9" t="s">
        <v>1149</v>
      </c>
      <c r="J336" s="10"/>
    </row>
    <row r="337" spans="1:10" ht="18" customHeight="1" x14ac:dyDescent="0.25">
      <c r="A337" s="4"/>
      <c r="B337" s="5">
        <v>280</v>
      </c>
      <c r="C337" s="6" t="str">
        <f>IFERROR(VLOOKUP(B337,[1]customers!$A:$B,2,0),"")</f>
        <v>General Aluminum</v>
      </c>
      <c r="D337" s="5" t="s">
        <v>1140</v>
      </c>
      <c r="E337" s="5" t="s">
        <v>1150</v>
      </c>
      <c r="F337" s="5"/>
      <c r="G337" s="5"/>
      <c r="H337" s="5"/>
      <c r="I337" s="5"/>
      <c r="J337" s="7"/>
    </row>
    <row r="338" spans="1:10" ht="18" customHeight="1" x14ac:dyDescent="0.25">
      <c r="A338" s="8"/>
      <c r="B338" s="9">
        <v>280</v>
      </c>
      <c r="C338" s="6" t="str">
        <f>IFERROR(VLOOKUP(B338,[1]customers!$A:$B,2,0),"")</f>
        <v>General Aluminum</v>
      </c>
      <c r="D338" s="9" t="s">
        <v>1140</v>
      </c>
      <c r="E338" s="9" t="s">
        <v>1151</v>
      </c>
      <c r="F338" s="9"/>
      <c r="G338" s="9"/>
      <c r="H338" s="9" t="s">
        <v>1152</v>
      </c>
      <c r="I338" s="9"/>
      <c r="J338" s="10"/>
    </row>
    <row r="339" spans="1:10" ht="18" customHeight="1" x14ac:dyDescent="0.25">
      <c r="A339" s="4"/>
      <c r="B339" s="5">
        <v>280</v>
      </c>
      <c r="C339" s="6" t="str">
        <f>IFERROR(VLOOKUP(B339,[1]customers!$A:$B,2,0),"")</f>
        <v>General Aluminum</v>
      </c>
      <c r="D339" s="5" t="s">
        <v>1140</v>
      </c>
      <c r="E339" s="5" t="s">
        <v>1153</v>
      </c>
      <c r="F339" s="5"/>
      <c r="G339" s="5" t="s">
        <v>1154</v>
      </c>
      <c r="H339" s="5"/>
      <c r="I339" s="5" t="s">
        <v>1155</v>
      </c>
      <c r="J339" s="7"/>
    </row>
    <row r="340" spans="1:10" ht="18" customHeight="1" x14ac:dyDescent="0.25">
      <c r="A340" s="8"/>
      <c r="B340" s="9">
        <v>280</v>
      </c>
      <c r="C340" s="6" t="str">
        <f>IFERROR(VLOOKUP(B340,[1]customers!$A:$B,2,0),"")</f>
        <v>General Aluminum</v>
      </c>
      <c r="D340" s="9" t="s">
        <v>1140</v>
      </c>
      <c r="E340" s="9" t="s">
        <v>1156</v>
      </c>
      <c r="F340" s="9"/>
      <c r="G340" s="9"/>
      <c r="H340" s="9"/>
      <c r="I340" s="9" t="s">
        <v>1157</v>
      </c>
      <c r="J340" s="10"/>
    </row>
    <row r="341" spans="1:10" ht="18" customHeight="1" x14ac:dyDescent="0.25">
      <c r="A341" s="4"/>
      <c r="B341" s="5">
        <v>280</v>
      </c>
      <c r="C341" s="6" t="str">
        <f>IFERROR(VLOOKUP(B341,[1]customers!$A:$B,2,0),"")</f>
        <v>General Aluminum</v>
      </c>
      <c r="D341" s="5" t="s">
        <v>1140</v>
      </c>
      <c r="E341" s="5" t="s">
        <v>1156</v>
      </c>
      <c r="F341" s="5"/>
      <c r="G341" s="5" t="s">
        <v>1158</v>
      </c>
      <c r="H341" s="5" t="s">
        <v>1159</v>
      </c>
      <c r="I341" s="5" t="s">
        <v>1157</v>
      </c>
      <c r="J341" s="7"/>
    </row>
    <row r="342" spans="1:10" ht="18" customHeight="1" x14ac:dyDescent="0.25">
      <c r="A342" s="8"/>
      <c r="B342" s="9">
        <v>281</v>
      </c>
      <c r="C342" s="6" t="str">
        <f>IFERROR(VLOOKUP(B342,[1]customers!$A:$B,2,0),"")</f>
        <v>General Die Casters, Inc</v>
      </c>
      <c r="D342" s="9" t="s">
        <v>1160</v>
      </c>
      <c r="E342" s="9" t="s">
        <v>1161</v>
      </c>
      <c r="F342" s="9"/>
      <c r="G342" s="9" t="s">
        <v>1162</v>
      </c>
      <c r="H342" s="9" t="s">
        <v>1163</v>
      </c>
      <c r="I342" s="9"/>
      <c r="J342" s="10"/>
    </row>
    <row r="343" spans="1:10" ht="18" customHeight="1" x14ac:dyDescent="0.25">
      <c r="A343" s="4"/>
      <c r="B343" s="5">
        <v>281</v>
      </c>
      <c r="C343" s="6" t="str">
        <f>IFERROR(VLOOKUP(B343,[1]customers!$A:$B,2,0),"")</f>
        <v>General Die Casters, Inc</v>
      </c>
      <c r="D343" s="5" t="s">
        <v>1160</v>
      </c>
      <c r="E343" s="5" t="s">
        <v>1164</v>
      </c>
      <c r="F343" s="5"/>
      <c r="G343" s="5" t="s">
        <v>1165</v>
      </c>
      <c r="H343" s="5"/>
      <c r="I343" s="5" t="s">
        <v>1166</v>
      </c>
      <c r="J343" s="7"/>
    </row>
    <row r="344" spans="1:10" ht="18" customHeight="1" x14ac:dyDescent="0.25">
      <c r="A344" s="8"/>
      <c r="B344" s="9">
        <v>281</v>
      </c>
      <c r="C344" s="6" t="str">
        <f>IFERROR(VLOOKUP(B344,[1]customers!$A:$B,2,0),"")</f>
        <v>General Die Casters, Inc</v>
      </c>
      <c r="D344" s="9" t="s">
        <v>1160</v>
      </c>
      <c r="E344" s="9" t="s">
        <v>1167</v>
      </c>
      <c r="F344" s="9"/>
      <c r="G344" s="9" t="s">
        <v>1168</v>
      </c>
      <c r="H344" s="9"/>
      <c r="I344" s="9" t="s">
        <v>1169</v>
      </c>
      <c r="J344" s="10"/>
    </row>
    <row r="345" spans="1:10" ht="18" customHeight="1" x14ac:dyDescent="0.25">
      <c r="A345" s="4"/>
      <c r="B345" s="5">
        <v>281</v>
      </c>
      <c r="C345" s="6" t="str">
        <f>IFERROR(VLOOKUP(B345,[1]customers!$A:$B,2,0),"")</f>
        <v>General Die Casters, Inc</v>
      </c>
      <c r="D345" s="5" t="s">
        <v>1160</v>
      </c>
      <c r="E345" s="5" t="s">
        <v>1170</v>
      </c>
      <c r="F345" s="5"/>
      <c r="G345" s="5" t="s">
        <v>1171</v>
      </c>
      <c r="H345" s="5"/>
      <c r="I345" s="5" t="s">
        <v>1172</v>
      </c>
      <c r="J345" s="7"/>
    </row>
    <row r="346" spans="1:10" ht="18" customHeight="1" x14ac:dyDescent="0.25">
      <c r="A346" s="8"/>
      <c r="B346" s="9">
        <v>282</v>
      </c>
      <c r="C346" s="6" t="str">
        <f>IFERROR(VLOOKUP(B346,[1]customers!$A:$B,2,0),"")</f>
        <v>Genesis Plastics Technologies</v>
      </c>
      <c r="D346" s="9" t="s">
        <v>1173</v>
      </c>
      <c r="E346" s="9" t="s">
        <v>1174</v>
      </c>
      <c r="F346" s="9"/>
      <c r="G346" s="9" t="s">
        <v>1175</v>
      </c>
      <c r="H346" s="9"/>
      <c r="I346" s="9" t="s">
        <v>1176</v>
      </c>
      <c r="J346" s="10"/>
    </row>
    <row r="347" spans="1:10" ht="18" customHeight="1" x14ac:dyDescent="0.25">
      <c r="A347" s="4"/>
      <c r="B347" s="5">
        <v>283</v>
      </c>
      <c r="C347" s="6" t="str">
        <f>IFERROR(VLOOKUP(B347,[1]customers!$A:$B,2,0),"")</f>
        <v>Gens Edifice</v>
      </c>
      <c r="D347" s="5" t="s">
        <v>1177</v>
      </c>
      <c r="E347" s="5" t="s">
        <v>1178</v>
      </c>
      <c r="F347" s="5"/>
      <c r="G347" s="5" t="s">
        <v>1179</v>
      </c>
      <c r="H347" s="5"/>
      <c r="I347" s="5" t="s">
        <v>1180</v>
      </c>
      <c r="J347" s="7"/>
    </row>
    <row r="348" spans="1:10" ht="18" customHeight="1" x14ac:dyDescent="0.25">
      <c r="A348" s="8"/>
      <c r="B348" s="9">
        <v>284</v>
      </c>
      <c r="C348" s="6" t="str">
        <f>IFERROR(VLOOKUP(B348,[1]customers!$A:$B,2,0),"")</f>
        <v>Geo-Tech Polymers</v>
      </c>
      <c r="D348" s="9" t="s">
        <v>1181</v>
      </c>
      <c r="E348" s="9" t="s">
        <v>1182</v>
      </c>
      <c r="F348" s="9"/>
      <c r="G348" s="9" t="s">
        <v>1183</v>
      </c>
      <c r="H348" s="9" t="s">
        <v>1184</v>
      </c>
      <c r="I348" s="9" t="s">
        <v>1185</v>
      </c>
      <c r="J348" s="10"/>
    </row>
    <row r="349" spans="1:10" ht="18" customHeight="1" x14ac:dyDescent="0.25">
      <c r="A349" s="4"/>
      <c r="B349" s="5">
        <v>284</v>
      </c>
      <c r="C349" s="6" t="str">
        <f>IFERROR(VLOOKUP(B349,[1]customers!$A:$B,2,0),"")</f>
        <v>Geo-Tech Polymers</v>
      </c>
      <c r="D349" s="5" t="s">
        <v>1181</v>
      </c>
      <c r="E349" s="5" t="s">
        <v>1186</v>
      </c>
      <c r="F349" s="5"/>
      <c r="G349" s="5" t="s">
        <v>1187</v>
      </c>
      <c r="H349" s="5"/>
      <c r="I349" s="5" t="s">
        <v>1188</v>
      </c>
      <c r="J349" s="7"/>
    </row>
    <row r="350" spans="1:10" ht="18" customHeight="1" x14ac:dyDescent="0.25">
      <c r="A350" s="8"/>
      <c r="B350" s="9">
        <v>284</v>
      </c>
      <c r="C350" s="6" t="str">
        <f>IFERROR(VLOOKUP(B350,[1]customers!$A:$B,2,0),"")</f>
        <v>Geo-Tech Polymers</v>
      </c>
      <c r="D350" s="9" t="s">
        <v>1181</v>
      </c>
      <c r="E350" s="9" t="s">
        <v>1189</v>
      </c>
      <c r="F350" s="9"/>
      <c r="G350" s="9" t="s">
        <v>1190</v>
      </c>
      <c r="H350" s="9" t="s">
        <v>1191</v>
      </c>
      <c r="I350" s="9"/>
      <c r="J350" s="10"/>
    </row>
    <row r="351" spans="1:10" ht="18" customHeight="1" x14ac:dyDescent="0.25">
      <c r="A351" s="4"/>
      <c r="B351" s="5">
        <v>285</v>
      </c>
      <c r="C351" s="6" t="str">
        <f>IFERROR(VLOOKUP(B351,[1]customers!$A:$B,2,0),"")</f>
        <v>Georgia Pacific</v>
      </c>
      <c r="D351" s="5" t="s">
        <v>1192</v>
      </c>
      <c r="E351" s="5" t="s">
        <v>1193</v>
      </c>
      <c r="F351" s="5"/>
      <c r="G351" s="5" t="s">
        <v>1194</v>
      </c>
      <c r="H351" s="5"/>
      <c r="I351" s="5" t="s">
        <v>1195</v>
      </c>
      <c r="J351" s="7"/>
    </row>
    <row r="352" spans="1:10" ht="18" customHeight="1" x14ac:dyDescent="0.25">
      <c r="A352" s="8"/>
      <c r="B352" s="9">
        <v>285</v>
      </c>
      <c r="C352" s="6" t="str">
        <f>IFERROR(VLOOKUP(B352,[1]customers!$A:$B,2,0),"")</f>
        <v>Georgia Pacific</v>
      </c>
      <c r="D352" s="9" t="s">
        <v>1192</v>
      </c>
      <c r="E352" s="9" t="s">
        <v>1196</v>
      </c>
      <c r="F352" s="9"/>
      <c r="G352" s="9" t="s">
        <v>1197</v>
      </c>
      <c r="H352" s="9" t="s">
        <v>1198</v>
      </c>
      <c r="I352" s="9" t="s">
        <v>1199</v>
      </c>
      <c r="J352" s="10"/>
    </row>
    <row r="353" spans="1:10" ht="18" customHeight="1" x14ac:dyDescent="0.25">
      <c r="A353" s="4"/>
      <c r="B353" s="5">
        <v>286</v>
      </c>
      <c r="C353" s="6" t="str">
        <f>IFERROR(VLOOKUP(B353,[1]customers!$A:$B,2,0),"")</f>
        <v>Gerber Wood Products</v>
      </c>
      <c r="D353" s="5" t="s">
        <v>1200</v>
      </c>
      <c r="E353" s="5" t="s">
        <v>1201</v>
      </c>
      <c r="F353" s="5"/>
      <c r="G353" s="5" t="s">
        <v>1202</v>
      </c>
      <c r="H353" s="5"/>
      <c r="I353" s="5" t="s">
        <v>1203</v>
      </c>
      <c r="J353" s="7"/>
    </row>
    <row r="354" spans="1:10" ht="18" customHeight="1" x14ac:dyDescent="0.25">
      <c r="A354" s="8"/>
      <c r="B354" s="9">
        <v>288</v>
      </c>
      <c r="C354" s="6" t="str">
        <f>IFERROR(VLOOKUP(B354,[1]customers!$A:$B,2,0),"")</f>
        <v>Glazing Systems Inc</v>
      </c>
      <c r="D354" s="9" t="s">
        <v>1204</v>
      </c>
      <c r="E354" s="9" t="s">
        <v>1205</v>
      </c>
      <c r="F354" s="9"/>
      <c r="G354" s="9" t="s">
        <v>1206</v>
      </c>
      <c r="H354" s="9"/>
      <c r="I354" s="9" t="s">
        <v>1207</v>
      </c>
      <c r="J354" s="10"/>
    </row>
    <row r="355" spans="1:10" ht="18" customHeight="1" x14ac:dyDescent="0.25">
      <c r="A355" s="4"/>
      <c r="B355" s="5">
        <v>288</v>
      </c>
      <c r="C355" s="6" t="str">
        <f>IFERROR(VLOOKUP(B355,[1]customers!$A:$B,2,0),"")</f>
        <v>Glazing Systems Inc</v>
      </c>
      <c r="D355" s="5" t="s">
        <v>1204</v>
      </c>
      <c r="E355" s="5" t="s">
        <v>1208</v>
      </c>
      <c r="F355" s="5"/>
      <c r="G355" s="5" t="s">
        <v>1209</v>
      </c>
      <c r="H355" s="5"/>
      <c r="I355" s="5" t="s">
        <v>1210</v>
      </c>
      <c r="J355" s="7"/>
    </row>
    <row r="356" spans="1:10" ht="18" customHeight="1" x14ac:dyDescent="0.25">
      <c r="A356" s="4"/>
      <c r="B356" s="5">
        <v>292</v>
      </c>
      <c r="C356" s="6" t="str">
        <f>IFERROR(VLOOKUP(B356,[1]customers!$A:$B,2,0),"")</f>
        <v>Golden Ratio Management Corporation</v>
      </c>
      <c r="D356" s="5" t="s">
        <v>1211</v>
      </c>
      <c r="E356" s="5" t="s">
        <v>1212</v>
      </c>
      <c r="F356" s="5"/>
      <c r="G356" s="5" t="s">
        <v>1213</v>
      </c>
      <c r="H356" s="5"/>
      <c r="I356" s="5"/>
      <c r="J356" s="7"/>
    </row>
    <row r="357" spans="1:10" ht="18" customHeight="1" x14ac:dyDescent="0.25">
      <c r="A357" s="8"/>
      <c r="B357" s="9">
        <v>296</v>
      </c>
      <c r="C357" s="6" t="str">
        <f>IFERROR(VLOOKUP(B357,[1]customers!$A:$B,2,0),"")</f>
        <v>Grand Haven Grinding</v>
      </c>
      <c r="D357" s="9" t="s">
        <v>1214</v>
      </c>
      <c r="E357" s="9" t="s">
        <v>1215</v>
      </c>
      <c r="F357" s="9"/>
      <c r="G357" s="9" t="s">
        <v>1216</v>
      </c>
      <c r="H357" s="9" t="s">
        <v>1217</v>
      </c>
      <c r="I357" s="9"/>
      <c r="J357" s="10"/>
    </row>
    <row r="358" spans="1:10" ht="18" customHeight="1" x14ac:dyDescent="0.25">
      <c r="A358" s="4"/>
      <c r="B358" s="5">
        <v>297</v>
      </c>
      <c r="C358" s="6" t="str">
        <f>IFERROR(VLOOKUP(B358,[1]customers!$A:$B,2,0),"")</f>
        <v>Grand Marshall Machinery</v>
      </c>
      <c r="D358" s="5" t="s">
        <v>1218</v>
      </c>
      <c r="E358" s="5" t="s">
        <v>1219</v>
      </c>
      <c r="F358" s="5"/>
      <c r="G358" s="5"/>
      <c r="H358" s="5"/>
      <c r="I358" s="5"/>
      <c r="J358" s="7"/>
    </row>
    <row r="359" spans="1:10" ht="18" customHeight="1" x14ac:dyDescent="0.25">
      <c r="A359" s="8"/>
      <c r="B359" s="9">
        <v>298</v>
      </c>
      <c r="C359" s="6" t="str">
        <f>IFERROR(VLOOKUP(B359,[1]customers!$A:$B,2,0),"")</f>
        <v>Gravure, Inc</v>
      </c>
      <c r="D359" s="9" t="s">
        <v>1220</v>
      </c>
      <c r="E359" s="9" t="s">
        <v>1221</v>
      </c>
      <c r="F359" s="9"/>
      <c r="G359" s="9" t="s">
        <v>1222</v>
      </c>
      <c r="H359" s="9"/>
      <c r="I359" s="9" t="s">
        <v>1223</v>
      </c>
      <c r="J359" s="10"/>
    </row>
    <row r="360" spans="1:10" ht="18" customHeight="1" x14ac:dyDescent="0.25">
      <c r="A360" s="4"/>
      <c r="B360" s="5">
        <v>299</v>
      </c>
      <c r="C360" s="6" t="str">
        <f>IFERROR(VLOOKUP(B360,[1]customers!$A:$B,2,0),"")</f>
        <v>Green Country Compressor Service</v>
      </c>
      <c r="D360" s="5" t="s">
        <v>1224</v>
      </c>
      <c r="E360" s="5" t="s">
        <v>1225</v>
      </c>
      <c r="F360" s="5"/>
      <c r="G360" s="5" t="s">
        <v>1226</v>
      </c>
      <c r="H360" s="5" t="s">
        <v>1227</v>
      </c>
      <c r="I360" s="5"/>
      <c r="J360" s="7"/>
    </row>
    <row r="361" spans="1:10" ht="18" customHeight="1" x14ac:dyDescent="0.25">
      <c r="A361" s="8"/>
      <c r="B361" s="9">
        <v>300</v>
      </c>
      <c r="C361" s="6" t="str">
        <f>IFERROR(VLOOKUP(B361,[1]customers!$A:$B,2,0),"")</f>
        <v>Greenliner, LLC</v>
      </c>
      <c r="D361" s="9" t="s">
        <v>1228</v>
      </c>
      <c r="E361" s="9" t="s">
        <v>1229</v>
      </c>
      <c r="F361" s="9"/>
      <c r="G361" s="9" t="s">
        <v>1230</v>
      </c>
      <c r="H361" s="9"/>
      <c r="I361" s="9" t="s">
        <v>1231</v>
      </c>
      <c r="J361" s="10"/>
    </row>
    <row r="362" spans="1:10" ht="18" customHeight="1" x14ac:dyDescent="0.25">
      <c r="A362" s="8"/>
      <c r="B362" s="9">
        <v>301</v>
      </c>
      <c r="C362" s="6" t="str">
        <f>IFERROR(VLOOKUP(B362,[1]customers!$A:$B,2,0),"")</f>
        <v>GS Steel</v>
      </c>
      <c r="D362" s="9" t="s">
        <v>1232</v>
      </c>
      <c r="E362" s="9" t="s">
        <v>1107</v>
      </c>
      <c r="F362" s="9"/>
      <c r="G362" s="9" t="s">
        <v>1108</v>
      </c>
      <c r="H362" s="9"/>
      <c r="I362" s="9"/>
      <c r="J362" s="10"/>
    </row>
    <row r="363" spans="1:10" ht="18" customHeight="1" x14ac:dyDescent="0.25">
      <c r="A363" s="4"/>
      <c r="B363" s="5">
        <v>302</v>
      </c>
      <c r="C363" s="6" t="str">
        <f>IFERROR(VLOOKUP(B363,[1]customers!$A:$B,2,0),"")</f>
        <v>Haas Factory Outlet</v>
      </c>
      <c r="D363" s="5" t="s">
        <v>1233</v>
      </c>
      <c r="E363" s="5" t="s">
        <v>1234</v>
      </c>
      <c r="F363" s="5"/>
      <c r="G363" s="5" t="s">
        <v>1235</v>
      </c>
      <c r="H363" s="5"/>
      <c r="I363" s="5" t="s">
        <v>1236</v>
      </c>
      <c r="J363" s="7"/>
    </row>
    <row r="364" spans="1:10" ht="18" customHeight="1" x14ac:dyDescent="0.25">
      <c r="A364" s="8"/>
      <c r="B364" s="9">
        <v>303</v>
      </c>
      <c r="C364" s="6" t="str">
        <f>IFERROR(VLOOKUP(B364,[1]customers!$A:$B,2,0),"")</f>
        <v>Harbor Castings</v>
      </c>
      <c r="D364" s="9" t="s">
        <v>1237</v>
      </c>
      <c r="E364" s="9" t="s">
        <v>1238</v>
      </c>
      <c r="F364" s="9"/>
      <c r="G364" s="9"/>
      <c r="H364" s="9"/>
      <c r="I364" s="9" t="s">
        <v>1239</v>
      </c>
      <c r="J364" s="10"/>
    </row>
    <row r="365" spans="1:10" ht="18" customHeight="1" x14ac:dyDescent="0.25">
      <c r="A365" s="4"/>
      <c r="B365" s="5">
        <v>303</v>
      </c>
      <c r="C365" s="6" t="str">
        <f>IFERROR(VLOOKUP(B365,[1]customers!$A:$B,2,0),"")</f>
        <v>Harbor Castings</v>
      </c>
      <c r="D365" s="5" t="s">
        <v>1237</v>
      </c>
      <c r="E365" s="5" t="s">
        <v>1240</v>
      </c>
      <c r="F365" s="5"/>
      <c r="G365" s="5"/>
      <c r="H365" s="5" t="s">
        <v>1241</v>
      </c>
      <c r="I365" s="5"/>
      <c r="J365" s="7"/>
    </row>
    <row r="366" spans="1:10" ht="18" customHeight="1" x14ac:dyDescent="0.25">
      <c r="A366" s="8"/>
      <c r="B366" s="9">
        <v>303</v>
      </c>
      <c r="C366" s="6" t="str">
        <f>IFERROR(VLOOKUP(B366,[1]customers!$A:$B,2,0),"")</f>
        <v>Harbor Castings</v>
      </c>
      <c r="D366" s="9" t="s">
        <v>1237</v>
      </c>
      <c r="E366" s="9" t="s">
        <v>1242</v>
      </c>
      <c r="F366" s="9"/>
      <c r="G366" s="9"/>
      <c r="H366" s="9" t="s">
        <v>1243</v>
      </c>
      <c r="I366" s="9"/>
      <c r="J366" s="10"/>
    </row>
    <row r="367" spans="1:10" ht="18" customHeight="1" x14ac:dyDescent="0.25">
      <c r="A367" s="4"/>
      <c r="B367" s="5">
        <v>305</v>
      </c>
      <c r="C367" s="6" t="str">
        <f>IFERROR(VLOOKUP(B367,[1]customers!$A:$B,2,0),"")</f>
        <v>Hariton Machinery</v>
      </c>
      <c r="D367" s="5" t="s">
        <v>1244</v>
      </c>
      <c r="E367" s="5" t="s">
        <v>1245</v>
      </c>
      <c r="F367" s="5"/>
      <c r="G367" s="5" t="s">
        <v>1246</v>
      </c>
      <c r="H367" s="5"/>
      <c r="I367" s="5" t="s">
        <v>1247</v>
      </c>
      <c r="J367" s="7"/>
    </row>
    <row r="368" spans="1:10" ht="18" customHeight="1" x14ac:dyDescent="0.25">
      <c r="A368" s="8"/>
      <c r="B368" s="9">
        <v>305</v>
      </c>
      <c r="C368" s="6" t="str">
        <f>IFERROR(VLOOKUP(B368,[1]customers!$A:$B,2,0),"")</f>
        <v>Hariton Machinery</v>
      </c>
      <c r="D368" s="9" t="s">
        <v>1244</v>
      </c>
      <c r="E368" s="9" t="s">
        <v>1245</v>
      </c>
      <c r="F368" s="9"/>
      <c r="G368" s="9" t="s">
        <v>1246</v>
      </c>
      <c r="H368" s="9"/>
      <c r="I368" s="9" t="s">
        <v>1247</v>
      </c>
      <c r="J368" s="10"/>
    </row>
    <row r="369" spans="1:10" ht="18" customHeight="1" x14ac:dyDescent="0.25">
      <c r="A369" s="4"/>
      <c r="B369" s="5">
        <v>308</v>
      </c>
      <c r="C369" s="6" t="str">
        <f>IFERROR(VLOOKUP(B369,[1]customers!$A:$B,2,0),"")</f>
        <v>HB Chemical</v>
      </c>
      <c r="D369" s="5" t="s">
        <v>1248</v>
      </c>
      <c r="E369" s="5" t="s">
        <v>1249</v>
      </c>
      <c r="F369" s="5"/>
      <c r="G369" s="5" t="s">
        <v>1250</v>
      </c>
      <c r="H369" s="5"/>
      <c r="I369" s="5"/>
      <c r="J369" s="7"/>
    </row>
    <row r="370" spans="1:10" ht="18" customHeight="1" x14ac:dyDescent="0.25">
      <c r="A370" s="8"/>
      <c r="B370" s="9">
        <v>308</v>
      </c>
      <c r="C370" s="6" t="str">
        <f>IFERROR(VLOOKUP(B370,[1]customers!$A:$B,2,0),"")</f>
        <v>HB Chemical</v>
      </c>
      <c r="D370" s="9" t="s">
        <v>1248</v>
      </c>
      <c r="E370" s="9" t="s">
        <v>1251</v>
      </c>
      <c r="F370" s="9"/>
      <c r="G370" s="9" t="s">
        <v>1252</v>
      </c>
      <c r="H370" s="9"/>
      <c r="I370" s="9" t="s">
        <v>1253</v>
      </c>
      <c r="J370" s="10"/>
    </row>
    <row r="371" spans="1:10" ht="18" customHeight="1" x14ac:dyDescent="0.25">
      <c r="A371" s="4"/>
      <c r="B371" s="5">
        <v>309</v>
      </c>
      <c r="C371" s="6" t="str">
        <f>IFERROR(VLOOKUP(B371,[1]customers!$A:$B,2,0),"")</f>
        <v>Heatmax Heaters</v>
      </c>
      <c r="D371" s="5" t="s">
        <v>1254</v>
      </c>
      <c r="E371" s="5" t="s">
        <v>1255</v>
      </c>
      <c r="F371" s="5"/>
      <c r="G371" s="5" t="s">
        <v>1256</v>
      </c>
      <c r="H371" s="5"/>
      <c r="I371" s="5">
        <v>8003213574</v>
      </c>
      <c r="J371" s="7"/>
    </row>
    <row r="372" spans="1:10" ht="18" customHeight="1" x14ac:dyDescent="0.25">
      <c r="A372" s="8"/>
      <c r="B372" s="9">
        <v>311</v>
      </c>
      <c r="C372" s="6" t="str">
        <f>IFERROR(VLOOKUP(B372,[1]customers!$A:$B,2,0),"")</f>
        <v>Hendrickson Trailer</v>
      </c>
      <c r="D372" s="9" t="s">
        <v>1257</v>
      </c>
      <c r="E372" s="9" t="s">
        <v>1258</v>
      </c>
      <c r="F372" s="9"/>
      <c r="G372" s="9" t="s">
        <v>1259</v>
      </c>
      <c r="H372" s="9"/>
      <c r="I372" s="9"/>
      <c r="J372" s="10"/>
    </row>
    <row r="373" spans="1:10" ht="18" customHeight="1" x14ac:dyDescent="0.25">
      <c r="A373" s="4"/>
      <c r="B373" s="5">
        <v>311</v>
      </c>
      <c r="C373" s="6" t="str">
        <f>IFERROR(VLOOKUP(B373,[1]customers!$A:$B,2,0),"")</f>
        <v>Hendrickson Trailer</v>
      </c>
      <c r="D373" s="5" t="s">
        <v>1257</v>
      </c>
      <c r="E373" s="5" t="s">
        <v>1260</v>
      </c>
      <c r="F373" s="5"/>
      <c r="G373" s="5" t="s">
        <v>1261</v>
      </c>
      <c r="H373" s="5"/>
      <c r="I373" s="5" t="s">
        <v>1262</v>
      </c>
      <c r="J373" s="7"/>
    </row>
    <row r="374" spans="1:10" ht="18" customHeight="1" x14ac:dyDescent="0.25">
      <c r="A374" s="8"/>
      <c r="B374" s="9">
        <v>311</v>
      </c>
      <c r="C374" s="6" t="str">
        <f>IFERROR(VLOOKUP(B374,[1]customers!$A:$B,2,0),"")</f>
        <v>Hendrickson Trailer</v>
      </c>
      <c r="D374" s="9" t="s">
        <v>1257</v>
      </c>
      <c r="E374" s="9" t="s">
        <v>1263</v>
      </c>
      <c r="F374" s="9"/>
      <c r="G374" s="9"/>
      <c r="H374" s="9"/>
      <c r="I374" s="9" t="s">
        <v>1264</v>
      </c>
      <c r="J374" s="10"/>
    </row>
    <row r="375" spans="1:10" ht="18" customHeight="1" x14ac:dyDescent="0.25">
      <c r="A375" s="8"/>
      <c r="B375" s="9">
        <v>313</v>
      </c>
      <c r="C375" s="6" t="str">
        <f>IFERROR(VLOOKUP(B375,[1]customers!$A:$B,2,0),"")</f>
        <v>Hi-Tech Machinery, Inc</v>
      </c>
      <c r="D375" s="9" t="s">
        <v>1265</v>
      </c>
      <c r="E375" s="9" t="s">
        <v>1266</v>
      </c>
      <c r="F375" s="9"/>
      <c r="G375" s="9" t="s">
        <v>1267</v>
      </c>
      <c r="H375" s="9" t="s">
        <v>1268</v>
      </c>
      <c r="I375" s="9"/>
      <c r="J375" s="10"/>
    </row>
    <row r="376" spans="1:10" ht="18" customHeight="1" x14ac:dyDescent="0.25">
      <c r="A376" s="8"/>
      <c r="B376" s="9">
        <v>315</v>
      </c>
      <c r="C376" s="6" t="str">
        <f>IFERROR(VLOOKUP(B376,[1]customers!$A:$B,2,0),"")</f>
        <v>Hilton Columbus</v>
      </c>
      <c r="D376" s="9" t="s">
        <v>1269</v>
      </c>
      <c r="E376" s="9" t="s">
        <v>1270</v>
      </c>
      <c r="F376" s="9"/>
      <c r="G376" s="9" t="s">
        <v>1271</v>
      </c>
      <c r="H376" s="9"/>
      <c r="I376" s="9">
        <v>7027155895</v>
      </c>
      <c r="J376" s="10"/>
    </row>
    <row r="377" spans="1:10" ht="18" customHeight="1" x14ac:dyDescent="0.25">
      <c r="A377" s="8"/>
      <c r="B377" s="9">
        <v>316</v>
      </c>
      <c r="C377" s="6" t="str">
        <f>IFERROR(VLOOKUP(B377,[1]customers!$A:$B,2,0),"")</f>
        <v>Hostar International</v>
      </c>
      <c r="D377" s="9" t="s">
        <v>1272</v>
      </c>
      <c r="E377" s="9" t="s">
        <v>1273</v>
      </c>
      <c r="F377" s="9"/>
      <c r="G377" s="9" t="s">
        <v>1274</v>
      </c>
      <c r="H377" s="9"/>
      <c r="I377" s="9" t="s">
        <v>1275</v>
      </c>
      <c r="J377" s="10"/>
    </row>
    <row r="378" spans="1:10" ht="18" customHeight="1" x14ac:dyDescent="0.25">
      <c r="A378" s="4"/>
      <c r="B378" s="5">
        <v>318</v>
      </c>
      <c r="C378" s="6" t="str">
        <f>IFERROR(VLOOKUP(B378,[1]customers!$A:$B,2,0),"")</f>
        <v>Huddleston Machinery Moving</v>
      </c>
      <c r="D378" s="5" t="s">
        <v>1276</v>
      </c>
      <c r="E378" s="5" t="s">
        <v>1277</v>
      </c>
      <c r="F378" s="5"/>
      <c r="G378" s="5" t="s">
        <v>1278</v>
      </c>
      <c r="H378" s="5"/>
      <c r="I378" s="5" t="s">
        <v>1279</v>
      </c>
      <c r="J378" s="7"/>
    </row>
    <row r="379" spans="1:10" ht="18" customHeight="1" x14ac:dyDescent="0.25">
      <c r="A379" s="8"/>
      <c r="B379" s="9">
        <v>321</v>
      </c>
      <c r="C379" s="6" t="str">
        <f>IFERROR(VLOOKUP(B379,[1]customers!$A:$B,2,0),"")</f>
        <v>Hydromat RE</v>
      </c>
      <c r="D379" s="9" t="s">
        <v>1280</v>
      </c>
      <c r="E379" s="9" t="s">
        <v>1281</v>
      </c>
      <c r="F379" s="9"/>
      <c r="G379" s="9" t="s">
        <v>1282</v>
      </c>
      <c r="H379" s="9"/>
      <c r="I379" s="9" t="s">
        <v>1283</v>
      </c>
      <c r="J379" s="10"/>
    </row>
    <row r="380" spans="1:10" ht="18" customHeight="1" x14ac:dyDescent="0.25">
      <c r="A380" s="4"/>
      <c r="B380" s="5">
        <v>498</v>
      </c>
      <c r="C380" s="6" t="str">
        <f>IFERROR(VLOOKUP(B380,[1]customers!$A:$B,2,0),"")</f>
        <v>Performance Health</v>
      </c>
      <c r="D380" s="5" t="s">
        <v>1284</v>
      </c>
      <c r="E380" s="5" t="s">
        <v>1285</v>
      </c>
      <c r="F380" s="5"/>
      <c r="G380" s="5"/>
      <c r="H380" s="5"/>
      <c r="I380" s="5" t="s">
        <v>1286</v>
      </c>
      <c r="J380" s="7"/>
    </row>
    <row r="381" spans="1:10" ht="18" customHeight="1" x14ac:dyDescent="0.25">
      <c r="A381" s="4"/>
      <c r="B381" s="5">
        <v>323</v>
      </c>
      <c r="C381" s="6" t="str">
        <f>IFERROR(VLOOKUP(B381,[1]customers!$A:$B,2,0),"")</f>
        <v>Imhoff Construction</v>
      </c>
      <c r="D381" s="5" t="s">
        <v>1287</v>
      </c>
      <c r="E381" s="5" t="s">
        <v>1288</v>
      </c>
      <c r="F381" s="5"/>
      <c r="G381" s="5"/>
      <c r="H381" s="5" t="s">
        <v>1289</v>
      </c>
      <c r="I381" s="5"/>
      <c r="J381" s="7"/>
    </row>
    <row r="382" spans="1:10" ht="18" customHeight="1" x14ac:dyDescent="0.25">
      <c r="A382" s="8"/>
      <c r="B382" s="9">
        <v>324</v>
      </c>
      <c r="C382" s="6" t="str">
        <f>IFERROR(VLOOKUP(B382,[1]customers!$A:$B,2,0),"")</f>
        <v>Imperial Heating</v>
      </c>
      <c r="D382" s="9" t="s">
        <v>1290</v>
      </c>
      <c r="E382" s="9" t="s">
        <v>1291</v>
      </c>
      <c r="F382" s="9"/>
      <c r="G382" s="9"/>
      <c r="H382" s="9"/>
      <c r="I382" s="9" t="s">
        <v>1292</v>
      </c>
      <c r="J382" s="10"/>
    </row>
    <row r="383" spans="1:10" ht="18" customHeight="1" x14ac:dyDescent="0.25">
      <c r="A383" s="4"/>
      <c r="B383" s="5">
        <v>324</v>
      </c>
      <c r="C383" s="6" t="str">
        <f>IFERROR(VLOOKUP(B383,[1]customers!$A:$B,2,0),"")</f>
        <v>Imperial Heating</v>
      </c>
      <c r="D383" s="5" t="s">
        <v>1290</v>
      </c>
      <c r="E383" s="5" t="s">
        <v>1293</v>
      </c>
      <c r="F383" s="5"/>
      <c r="G383" s="5"/>
      <c r="H383" s="5"/>
      <c r="I383" s="5" t="s">
        <v>1292</v>
      </c>
      <c r="J383" s="7"/>
    </row>
    <row r="384" spans="1:10" ht="18" customHeight="1" x14ac:dyDescent="0.25">
      <c r="A384" s="8"/>
      <c r="B384" s="9">
        <v>325</v>
      </c>
      <c r="C384" s="6" t="str">
        <f>IFERROR(VLOOKUP(B384,[1]customers!$A:$B,2,0),"")</f>
        <v>IMS</v>
      </c>
      <c r="D384" s="9" t="s">
        <v>1294</v>
      </c>
      <c r="E384" s="9" t="s">
        <v>1295</v>
      </c>
      <c r="F384" s="9"/>
      <c r="G384" s="9" t="s">
        <v>1296</v>
      </c>
      <c r="H384" s="9" t="s">
        <v>1297</v>
      </c>
      <c r="I384" s="9"/>
      <c r="J384" s="10"/>
    </row>
    <row r="385" spans="1:10" ht="18" customHeight="1" x14ac:dyDescent="0.25">
      <c r="A385" s="4"/>
      <c r="B385" s="5">
        <v>326</v>
      </c>
      <c r="C385" s="6" t="str">
        <f>IFERROR(VLOOKUP(B385,[1]customers!$A:$B,2,0),"")</f>
        <v>Incredible Plastics</v>
      </c>
      <c r="D385" s="5" t="s">
        <v>1298</v>
      </c>
      <c r="E385" s="5" t="s">
        <v>1299</v>
      </c>
      <c r="F385" s="5"/>
      <c r="G385" s="5"/>
      <c r="H385" s="5" t="s">
        <v>1300</v>
      </c>
      <c r="I385" s="5"/>
      <c r="J385" s="7"/>
    </row>
    <row r="386" spans="1:10" ht="18" customHeight="1" x14ac:dyDescent="0.25">
      <c r="A386" s="4"/>
      <c r="B386" s="5">
        <v>333</v>
      </c>
      <c r="C386" s="6" t="str">
        <f>IFERROR(VLOOKUP(B386,[1]customers!$A:$B,2,0),"")</f>
        <v>Inman Shipping</v>
      </c>
      <c r="D386" s="5" t="s">
        <v>1301</v>
      </c>
      <c r="E386" s="5" t="s">
        <v>1302</v>
      </c>
      <c r="F386" s="5"/>
      <c r="G386" s="5" t="s">
        <v>1303</v>
      </c>
      <c r="H386" s="5"/>
      <c r="I386" s="5" t="s">
        <v>1304</v>
      </c>
      <c r="J386" s="7"/>
    </row>
    <row r="387" spans="1:10" ht="18" customHeight="1" x14ac:dyDescent="0.25">
      <c r="A387" s="8"/>
      <c r="B387" s="9">
        <v>336</v>
      </c>
      <c r="C387" s="6" t="str">
        <f>IFERROR(VLOOKUP(B387,[1]customers!$A:$B,2,0),"")</f>
        <v>Innovative Fabrications LLC</v>
      </c>
      <c r="D387" s="9" t="s">
        <v>1305</v>
      </c>
      <c r="E387" s="9" t="s">
        <v>1306</v>
      </c>
      <c r="F387" s="9"/>
      <c r="G387" s="9" t="s">
        <v>1307</v>
      </c>
      <c r="H387" s="9"/>
      <c r="I387" s="9" t="s">
        <v>1308</v>
      </c>
      <c r="J387" s="10"/>
    </row>
    <row r="388" spans="1:10" ht="18" customHeight="1" x14ac:dyDescent="0.25">
      <c r="A388" s="4"/>
      <c r="B388" s="5">
        <v>336</v>
      </c>
      <c r="C388" s="6" t="str">
        <f>IFERROR(VLOOKUP(B388,[1]customers!$A:$B,2,0),"")</f>
        <v>Innovative Fabrications LLC</v>
      </c>
      <c r="D388" s="5" t="s">
        <v>1305</v>
      </c>
      <c r="E388" s="5" t="s">
        <v>1309</v>
      </c>
      <c r="F388" s="5"/>
      <c r="G388" s="5" t="s">
        <v>1310</v>
      </c>
      <c r="H388" s="5" t="s">
        <v>1308</v>
      </c>
      <c r="I388" s="5" t="s">
        <v>1311</v>
      </c>
      <c r="J388" s="7"/>
    </row>
    <row r="389" spans="1:10" ht="18" customHeight="1" x14ac:dyDescent="0.25">
      <c r="A389" s="8"/>
      <c r="B389" s="9">
        <v>339</v>
      </c>
      <c r="C389" s="6" t="str">
        <f>IFERROR(VLOOKUP(B389,[1]customers!$A:$B,2,0),"")</f>
        <v>Integrity Integrators, LLC</v>
      </c>
      <c r="D389" s="9" t="s">
        <v>1312</v>
      </c>
      <c r="E389" s="9" t="s">
        <v>1313</v>
      </c>
      <c r="F389" s="9"/>
      <c r="G389" s="9" t="s">
        <v>1314</v>
      </c>
      <c r="H389" s="9">
        <v>3302807074</v>
      </c>
      <c r="I389" s="9"/>
      <c r="J389" s="10"/>
    </row>
    <row r="390" spans="1:10" ht="18" customHeight="1" x14ac:dyDescent="0.25">
      <c r="A390" s="4"/>
      <c r="B390" s="5">
        <v>339</v>
      </c>
      <c r="C390" s="6" t="str">
        <f>IFERROR(VLOOKUP(B390,[1]customers!$A:$B,2,0),"")</f>
        <v>Integrity Integrators, LLC</v>
      </c>
      <c r="D390" s="5" t="s">
        <v>1312</v>
      </c>
      <c r="E390" s="5" t="s">
        <v>1315</v>
      </c>
      <c r="F390" s="5"/>
      <c r="G390" s="5" t="s">
        <v>1316</v>
      </c>
      <c r="H390" s="5"/>
      <c r="I390" s="5">
        <v>3306318330</v>
      </c>
      <c r="J390" s="7"/>
    </row>
    <row r="391" spans="1:10" ht="18" customHeight="1" x14ac:dyDescent="0.25">
      <c r="A391" s="8"/>
      <c r="B391" s="9">
        <v>340</v>
      </c>
      <c r="C391" s="6" t="str">
        <f>IFERROR(VLOOKUP(B391,[1]customers!$A:$B,2,0),"")</f>
        <v>International Enterprises</v>
      </c>
      <c r="D391" s="9" t="s">
        <v>1317</v>
      </c>
      <c r="E391" s="9" t="s">
        <v>1318</v>
      </c>
      <c r="F391" s="9"/>
      <c r="G391" s="9"/>
      <c r="H391" s="9"/>
      <c r="I391" s="9" t="s">
        <v>1319</v>
      </c>
      <c r="J391" s="10"/>
    </row>
    <row r="392" spans="1:10" ht="18" customHeight="1" x14ac:dyDescent="0.25">
      <c r="A392" s="4"/>
      <c r="B392" s="5">
        <v>340</v>
      </c>
      <c r="C392" s="6" t="str">
        <f>IFERROR(VLOOKUP(B392,[1]customers!$A:$B,2,0),"")</f>
        <v>International Enterprises</v>
      </c>
      <c r="D392" s="5" t="s">
        <v>1317</v>
      </c>
      <c r="E392" s="5" t="s">
        <v>1320</v>
      </c>
      <c r="F392" s="5"/>
      <c r="G392" s="5" t="s">
        <v>1321</v>
      </c>
      <c r="H392" s="5"/>
      <c r="I392" s="5">
        <v>3309367916</v>
      </c>
      <c r="J392" s="7"/>
    </row>
    <row r="393" spans="1:10" ht="18" customHeight="1" x14ac:dyDescent="0.25">
      <c r="A393" s="8"/>
      <c r="B393" s="9">
        <v>341</v>
      </c>
      <c r="C393" s="6" t="str">
        <f>IFERROR(VLOOKUP(B393,[1]customers!$A:$B,2,0),"")</f>
        <v>International Metal Trading</v>
      </c>
      <c r="D393" s="9" t="s">
        <v>1322</v>
      </c>
      <c r="E393" s="9" t="s">
        <v>1323</v>
      </c>
      <c r="F393" s="9"/>
      <c r="G393" s="9" t="s">
        <v>1324</v>
      </c>
      <c r="H393" s="9"/>
      <c r="I393" s="9" t="s">
        <v>1325</v>
      </c>
      <c r="J393" s="10"/>
    </row>
    <row r="394" spans="1:10" ht="18" customHeight="1" x14ac:dyDescent="0.25">
      <c r="A394" s="4"/>
      <c r="B394" s="5">
        <v>344</v>
      </c>
      <c r="C394" s="6" t="str">
        <f>IFERROR(VLOOKUP(B394,[1]customers!$A:$B,2,0),"")</f>
        <v>J&amp;J Precision Machine</v>
      </c>
      <c r="D394" s="5" t="s">
        <v>1326</v>
      </c>
      <c r="E394" s="5" t="s">
        <v>1327</v>
      </c>
      <c r="F394" s="5"/>
      <c r="G394" s="5" t="s">
        <v>1328</v>
      </c>
      <c r="H394" s="5"/>
      <c r="I394" s="5" t="s">
        <v>1329</v>
      </c>
      <c r="J394" s="7"/>
    </row>
    <row r="395" spans="1:10" ht="18" customHeight="1" x14ac:dyDescent="0.25">
      <c r="A395" s="8"/>
      <c r="B395" s="9">
        <v>344</v>
      </c>
      <c r="C395" s="6" t="str">
        <f>IFERROR(VLOOKUP(B395,[1]customers!$A:$B,2,0),"")</f>
        <v>J&amp;J Precision Machine</v>
      </c>
      <c r="D395" s="9" t="s">
        <v>1326</v>
      </c>
      <c r="E395" s="9" t="s">
        <v>1330</v>
      </c>
      <c r="F395" s="9"/>
      <c r="G395" s="9" t="s">
        <v>1328</v>
      </c>
      <c r="H395" s="9" t="s">
        <v>1329</v>
      </c>
      <c r="I395" s="9"/>
      <c r="J395" s="10"/>
    </row>
    <row r="396" spans="1:10" ht="18" customHeight="1" x14ac:dyDescent="0.25">
      <c r="A396" s="4"/>
      <c r="B396" s="5">
        <v>344</v>
      </c>
      <c r="C396" s="6" t="str">
        <f>IFERROR(VLOOKUP(B396,[1]customers!$A:$B,2,0),"")</f>
        <v>J&amp;J Precision Machine</v>
      </c>
      <c r="D396" s="5" t="s">
        <v>1326</v>
      </c>
      <c r="E396" s="5" t="s">
        <v>1331</v>
      </c>
      <c r="F396" s="5"/>
      <c r="G396" s="5"/>
      <c r="H396" s="5" t="s">
        <v>1332</v>
      </c>
      <c r="I396" s="5"/>
      <c r="J396" s="7"/>
    </row>
    <row r="397" spans="1:10" ht="18" customHeight="1" x14ac:dyDescent="0.25">
      <c r="A397" s="4"/>
      <c r="B397" s="5">
        <v>343</v>
      </c>
      <c r="C397" s="6" t="str">
        <f>IFERROR(VLOOKUP(B397,[1]customers!$A:$B,2,0),"")</f>
        <v>J Feldkamp Design Build</v>
      </c>
      <c r="D397" s="5" t="s">
        <v>1333</v>
      </c>
      <c r="E397" s="5" t="s">
        <v>1334</v>
      </c>
      <c r="F397" s="5"/>
      <c r="G397" s="5" t="s">
        <v>1335</v>
      </c>
      <c r="H397" s="5" t="s">
        <v>1336</v>
      </c>
      <c r="I397" s="5"/>
      <c r="J397" s="7"/>
    </row>
    <row r="398" spans="1:10" ht="18" customHeight="1" x14ac:dyDescent="0.25">
      <c r="A398" s="8"/>
      <c r="B398" s="9">
        <v>349</v>
      </c>
      <c r="C398" s="6" t="str">
        <f>IFERROR(VLOOKUP(B398,[1]customers!$A:$B,2,0),"")</f>
        <v>JC Whitlam Manufacturing</v>
      </c>
      <c r="D398" s="9" t="s">
        <v>1337</v>
      </c>
      <c r="E398" s="9" t="s">
        <v>1338</v>
      </c>
      <c r="F398" s="9"/>
      <c r="G398" s="9" t="s">
        <v>1339</v>
      </c>
      <c r="H398" s="9" t="s">
        <v>1340</v>
      </c>
      <c r="I398" s="9"/>
      <c r="J398" s="10"/>
    </row>
    <row r="399" spans="1:10" ht="18" customHeight="1" x14ac:dyDescent="0.25">
      <c r="A399" s="4"/>
      <c r="B399" s="5">
        <v>346</v>
      </c>
      <c r="C399" s="6" t="str">
        <f>IFERROR(VLOOKUP(B399,[1]customers!$A:$B,2,0),"")</f>
        <v>Jax Mold and Machine</v>
      </c>
      <c r="D399" s="5" t="s">
        <v>1341</v>
      </c>
      <c r="E399" s="5" t="s">
        <v>1342</v>
      </c>
      <c r="F399" s="5"/>
      <c r="G399" s="5" t="s">
        <v>1343</v>
      </c>
      <c r="H399" s="5"/>
      <c r="I399" s="5" t="s">
        <v>1344</v>
      </c>
      <c r="J399" s="7"/>
    </row>
    <row r="400" spans="1:10" ht="18" customHeight="1" x14ac:dyDescent="0.25">
      <c r="A400" s="8"/>
      <c r="B400" s="9">
        <v>346</v>
      </c>
      <c r="C400" s="6" t="str">
        <f>IFERROR(VLOOKUP(B400,[1]customers!$A:$B,2,0),"")</f>
        <v>Jax Mold and Machine</v>
      </c>
      <c r="D400" s="9" t="s">
        <v>1341</v>
      </c>
      <c r="E400" s="9" t="s">
        <v>1345</v>
      </c>
      <c r="F400" s="9"/>
      <c r="G400" s="9" t="s">
        <v>1346</v>
      </c>
      <c r="H400" s="9"/>
      <c r="I400" s="9" t="s">
        <v>1347</v>
      </c>
      <c r="J400" s="10"/>
    </row>
    <row r="401" spans="1:10" ht="18" customHeight="1" x14ac:dyDescent="0.25">
      <c r="A401" s="4"/>
      <c r="B401" s="11">
        <v>347</v>
      </c>
      <c r="C401" s="6" t="str">
        <f>IFERROR(VLOOKUP(B401,[1]customers!$A:$B,2,0),"")</f>
        <v>Jay-Em Aerospace</v>
      </c>
      <c r="D401" s="5" t="s">
        <v>1348</v>
      </c>
      <c r="E401" s="5" t="s">
        <v>1349</v>
      </c>
      <c r="F401" s="5"/>
      <c r="G401" s="5" t="s">
        <v>1350</v>
      </c>
      <c r="H401" s="5"/>
      <c r="I401" s="5" t="s">
        <v>1351</v>
      </c>
      <c r="J401" s="7"/>
    </row>
    <row r="402" spans="1:10" ht="18" customHeight="1" x14ac:dyDescent="0.25">
      <c r="A402" s="8"/>
      <c r="B402" s="9">
        <v>347</v>
      </c>
      <c r="C402" s="6" t="str">
        <f>IFERROR(VLOOKUP(B402,[1]customers!$A:$B,2,0),"")</f>
        <v>Jay-Em Aerospace</v>
      </c>
      <c r="D402" s="9" t="s">
        <v>1348</v>
      </c>
      <c r="E402" s="9" t="s">
        <v>1352</v>
      </c>
      <c r="F402" s="9"/>
      <c r="G402" s="9"/>
      <c r="H402" s="9"/>
      <c r="I402" s="9" t="s">
        <v>1351</v>
      </c>
      <c r="J402" s="10"/>
    </row>
    <row r="403" spans="1:10" ht="18" customHeight="1" x14ac:dyDescent="0.25">
      <c r="A403" s="4"/>
      <c r="B403" s="5">
        <v>351</v>
      </c>
      <c r="C403" s="6" t="str">
        <f>IFERROR(VLOOKUP(B403,[1]customers!$A:$B,2,0),"")</f>
        <v>Jet Rubber Co</v>
      </c>
      <c r="D403" s="5" t="s">
        <v>1353</v>
      </c>
      <c r="E403" s="5" t="s">
        <v>1354</v>
      </c>
      <c r="F403" s="5"/>
      <c r="G403" s="5"/>
      <c r="H403" s="5" t="s">
        <v>1355</v>
      </c>
      <c r="I403" s="5"/>
      <c r="J403" s="7"/>
    </row>
    <row r="404" spans="1:10" ht="18" customHeight="1" x14ac:dyDescent="0.25">
      <c r="A404" s="4"/>
      <c r="B404" s="5">
        <v>354</v>
      </c>
      <c r="C404" s="6" t="str">
        <f>IFERROR(VLOOKUP(B404,[1]customers!$A:$B,2,0),"")</f>
        <v>JRC Technologies LLC Co</v>
      </c>
      <c r="D404" s="5" t="s">
        <v>1356</v>
      </c>
      <c r="E404" s="5" t="s">
        <v>1357</v>
      </c>
      <c r="F404" s="5"/>
      <c r="G404" s="5" t="s">
        <v>1358</v>
      </c>
      <c r="H404" s="5" t="s">
        <v>1359</v>
      </c>
      <c r="I404" s="5" t="s">
        <v>1360</v>
      </c>
      <c r="J404" s="7"/>
    </row>
    <row r="405" spans="1:10" ht="18" customHeight="1" x14ac:dyDescent="0.25">
      <c r="A405" s="8"/>
      <c r="B405" s="9">
        <v>355</v>
      </c>
      <c r="C405" s="6" t="str">
        <f>IFERROR(VLOOKUP(B405,[1]customers!$A:$B,2,0),"")</f>
        <v>JT Automation</v>
      </c>
      <c r="D405" s="9" t="s">
        <v>1361</v>
      </c>
      <c r="E405" s="9" t="s">
        <v>1362</v>
      </c>
      <c r="F405" s="9"/>
      <c r="G405" s="9" t="s">
        <v>1363</v>
      </c>
      <c r="H405" s="9"/>
      <c r="I405" s="9" t="s">
        <v>1364</v>
      </c>
      <c r="J405" s="10"/>
    </row>
    <row r="406" spans="1:10" ht="18" customHeight="1" x14ac:dyDescent="0.25">
      <c r="A406" s="4"/>
      <c r="B406" s="5">
        <v>358</v>
      </c>
      <c r="C406" s="6" t="str">
        <f>IFERROR(VLOOKUP(B406,[1]customers!$A:$B,2,0),"")</f>
        <v>JWF Industries</v>
      </c>
      <c r="D406" s="5" t="s">
        <v>1365</v>
      </c>
      <c r="E406" s="5" t="s">
        <v>1366</v>
      </c>
      <c r="F406" s="5"/>
      <c r="G406" s="5" t="s">
        <v>1367</v>
      </c>
      <c r="H406" s="5"/>
      <c r="I406" s="5" t="s">
        <v>1368</v>
      </c>
      <c r="J406" s="7"/>
    </row>
    <row r="407" spans="1:10" ht="18" customHeight="1" x14ac:dyDescent="0.25">
      <c r="A407" s="8"/>
      <c r="B407" s="9">
        <v>362</v>
      </c>
      <c r="C407" s="6" t="str">
        <f>IFERROR(VLOOKUP(B407,[1]customers!$A:$B,2,0),"")</f>
        <v>Karam Trader Inc</v>
      </c>
      <c r="D407" s="9" t="s">
        <v>1369</v>
      </c>
      <c r="E407" s="9" t="s">
        <v>1370</v>
      </c>
      <c r="F407" s="9"/>
      <c r="G407" s="9" t="s">
        <v>1371</v>
      </c>
      <c r="H407" s="9" t="s">
        <v>1372</v>
      </c>
      <c r="I407" s="9"/>
      <c r="J407" s="10"/>
    </row>
    <row r="408" spans="1:10" ht="18" customHeight="1" x14ac:dyDescent="0.25">
      <c r="A408" s="4"/>
      <c r="B408" s="5">
        <v>364</v>
      </c>
      <c r="C408" s="6" t="str">
        <f>IFERROR(VLOOKUP(B408,[1]customers!$A:$B,2,0),"")</f>
        <v>KB Bioenergy</v>
      </c>
      <c r="D408" s="5" t="s">
        <v>1373</v>
      </c>
      <c r="E408" s="5" t="s">
        <v>1374</v>
      </c>
      <c r="F408" s="5"/>
      <c r="G408" s="5" t="s">
        <v>1375</v>
      </c>
      <c r="H408" s="5"/>
      <c r="I408" s="5" t="s">
        <v>1376</v>
      </c>
      <c r="J408" s="7"/>
    </row>
    <row r="409" spans="1:10" ht="18" customHeight="1" x14ac:dyDescent="0.25">
      <c r="A409" s="8"/>
      <c r="B409" s="9">
        <v>364</v>
      </c>
      <c r="C409" s="6" t="str">
        <f>IFERROR(VLOOKUP(B409,[1]customers!$A:$B,2,0),"")</f>
        <v>KB Bioenergy</v>
      </c>
      <c r="D409" s="9" t="s">
        <v>1373</v>
      </c>
      <c r="E409" s="9" t="s">
        <v>1377</v>
      </c>
      <c r="F409" s="9"/>
      <c r="G409" s="9" t="s">
        <v>1378</v>
      </c>
      <c r="H409" s="9" t="s">
        <v>1379</v>
      </c>
      <c r="I409" s="9" t="s">
        <v>1376</v>
      </c>
      <c r="J409" s="10"/>
    </row>
    <row r="410" spans="1:10" ht="18" customHeight="1" x14ac:dyDescent="0.25">
      <c r="A410" s="4"/>
      <c r="B410" s="5">
        <v>364</v>
      </c>
      <c r="C410" s="6" t="str">
        <f>IFERROR(VLOOKUP(B410,[1]customers!$A:$B,2,0),"")</f>
        <v>KB Bioenergy</v>
      </c>
      <c r="D410" s="5" t="s">
        <v>1373</v>
      </c>
      <c r="E410" s="5" t="s">
        <v>1380</v>
      </c>
      <c r="F410" s="5"/>
      <c r="G410" s="5"/>
      <c r="H410" s="5" t="s">
        <v>1381</v>
      </c>
      <c r="I410" s="5"/>
      <c r="J410" s="7"/>
    </row>
    <row r="411" spans="1:10" ht="18" customHeight="1" x14ac:dyDescent="0.25">
      <c r="A411" s="8"/>
      <c r="B411" s="9">
        <v>364</v>
      </c>
      <c r="C411" s="6" t="str">
        <f>IFERROR(VLOOKUP(B411,[1]customers!$A:$B,2,0),"")</f>
        <v>KB Bioenergy</v>
      </c>
      <c r="D411" s="9" t="s">
        <v>1373</v>
      </c>
      <c r="E411" s="9" t="s">
        <v>1382</v>
      </c>
      <c r="F411" s="9"/>
      <c r="G411" s="9" t="s">
        <v>1383</v>
      </c>
      <c r="H411" s="9" t="s">
        <v>1384</v>
      </c>
      <c r="I411" s="9"/>
      <c r="J411" s="10"/>
    </row>
    <row r="412" spans="1:10" ht="18" customHeight="1" x14ac:dyDescent="0.25">
      <c r="A412" s="4"/>
      <c r="B412" s="5">
        <v>365</v>
      </c>
      <c r="C412" s="6" t="str">
        <f>IFERROR(VLOOKUP(B412,[1]customers!$A:$B,2,0),"")</f>
        <v>Keen Pump Co</v>
      </c>
      <c r="D412" s="5" t="s">
        <v>1385</v>
      </c>
      <c r="E412" s="5" t="s">
        <v>1386</v>
      </c>
      <c r="F412" s="5"/>
      <c r="G412" s="5" t="s">
        <v>1387</v>
      </c>
      <c r="H412" s="5"/>
      <c r="I412" s="5">
        <v>4192079400</v>
      </c>
      <c r="J412" s="7"/>
    </row>
    <row r="413" spans="1:10" ht="18" customHeight="1" x14ac:dyDescent="0.25">
      <c r="A413" s="8"/>
      <c r="B413" s="9">
        <v>366</v>
      </c>
      <c r="C413" s="6" t="str">
        <f>IFERROR(VLOOKUP(B413,[1]customers!$A:$B,2,0),"")</f>
        <v>Keene Building Products</v>
      </c>
      <c r="D413" s="9" t="s">
        <v>1388</v>
      </c>
      <c r="E413" s="9" t="s">
        <v>1389</v>
      </c>
      <c r="F413" s="9"/>
      <c r="G413" s="9" t="s">
        <v>1390</v>
      </c>
      <c r="H413" s="9" t="s">
        <v>1391</v>
      </c>
      <c r="I413" s="9"/>
      <c r="J413" s="10"/>
    </row>
    <row r="414" spans="1:10" ht="18" customHeight="1" x14ac:dyDescent="0.25">
      <c r="A414" s="4"/>
      <c r="B414" s="5">
        <v>366</v>
      </c>
      <c r="C414" s="6" t="str">
        <f>IFERROR(VLOOKUP(B414,[1]customers!$A:$B,2,0),"")</f>
        <v>Keene Building Products</v>
      </c>
      <c r="D414" s="5" t="s">
        <v>1388</v>
      </c>
      <c r="E414" s="5" t="s">
        <v>1392</v>
      </c>
      <c r="F414" s="5"/>
      <c r="G414" s="5" t="s">
        <v>1393</v>
      </c>
      <c r="H414" s="5"/>
      <c r="I414" s="5" t="s">
        <v>1394</v>
      </c>
      <c r="J414" s="7"/>
    </row>
    <row r="415" spans="1:10" ht="18" customHeight="1" x14ac:dyDescent="0.25">
      <c r="A415" s="8"/>
      <c r="B415" s="9">
        <v>366</v>
      </c>
      <c r="C415" s="6" t="str">
        <f>IFERROR(VLOOKUP(B415,[1]customers!$A:$B,2,0),"")</f>
        <v>Keene Building Products</v>
      </c>
      <c r="D415" s="9" t="s">
        <v>1388</v>
      </c>
      <c r="E415" s="9" t="s">
        <v>1395</v>
      </c>
      <c r="F415" s="9"/>
      <c r="G415" s="9" t="s">
        <v>1396</v>
      </c>
      <c r="H415" s="9"/>
      <c r="I415" s="9" t="s">
        <v>1397</v>
      </c>
      <c r="J415" s="10"/>
    </row>
    <row r="416" spans="1:10" ht="18" customHeight="1" x14ac:dyDescent="0.25">
      <c r="A416" s="4"/>
      <c r="B416" s="5">
        <v>370</v>
      </c>
      <c r="C416" s="6" t="str">
        <f>IFERROR(VLOOKUP(B416,[1]customers!$A:$B,2,0),"")</f>
        <v>Kennametal Inc</v>
      </c>
      <c r="D416" s="5" t="s">
        <v>1398</v>
      </c>
      <c r="E416" s="5" t="s">
        <v>1399</v>
      </c>
      <c r="F416" s="5"/>
      <c r="G416" s="5" t="s">
        <v>1400</v>
      </c>
      <c r="H416" s="5"/>
      <c r="I416" s="5" t="s">
        <v>1401</v>
      </c>
      <c r="J416" s="7"/>
    </row>
    <row r="417" spans="1:10" ht="18" customHeight="1" x14ac:dyDescent="0.25">
      <c r="A417" s="8"/>
      <c r="B417" s="9">
        <v>370</v>
      </c>
      <c r="C417" s="6" t="str">
        <f>IFERROR(VLOOKUP(B417,[1]customers!$A:$B,2,0),"")</f>
        <v>Kennametal Inc</v>
      </c>
      <c r="D417" s="9" t="s">
        <v>1398</v>
      </c>
      <c r="E417" s="9" t="s">
        <v>1402</v>
      </c>
      <c r="F417" s="9"/>
      <c r="G417" s="9" t="s">
        <v>1403</v>
      </c>
      <c r="H417" s="9" t="s">
        <v>1404</v>
      </c>
      <c r="I417" s="9"/>
      <c r="J417" s="10"/>
    </row>
    <row r="418" spans="1:10" ht="18" customHeight="1" x14ac:dyDescent="0.25">
      <c r="A418" s="4"/>
      <c r="B418" s="5">
        <v>370</v>
      </c>
      <c r="C418" s="6" t="str">
        <f>IFERROR(VLOOKUP(B418,[1]customers!$A:$B,2,0),"")</f>
        <v>Kennametal Inc</v>
      </c>
      <c r="D418" s="5" t="s">
        <v>1398</v>
      </c>
      <c r="E418" s="5" t="s">
        <v>1405</v>
      </c>
      <c r="F418" s="5"/>
      <c r="G418" s="5"/>
      <c r="H418" s="5" t="s">
        <v>1406</v>
      </c>
      <c r="I418" s="5"/>
      <c r="J418" s="7"/>
    </row>
    <row r="419" spans="1:10" ht="18" customHeight="1" x14ac:dyDescent="0.25">
      <c r="A419" s="8"/>
      <c r="B419" s="9">
        <v>370</v>
      </c>
      <c r="C419" s="6" t="str">
        <f>IFERROR(VLOOKUP(B419,[1]customers!$A:$B,2,0),"")</f>
        <v>Kennametal Inc</v>
      </c>
      <c r="D419" s="9" t="s">
        <v>1398</v>
      </c>
      <c r="E419" s="9" t="s">
        <v>1407</v>
      </c>
      <c r="F419" s="9"/>
      <c r="G419" s="9" t="s">
        <v>1408</v>
      </c>
      <c r="H419" s="9" t="s">
        <v>1409</v>
      </c>
      <c r="I419" s="9"/>
      <c r="J419" s="10"/>
    </row>
    <row r="420" spans="1:10" ht="18" customHeight="1" x14ac:dyDescent="0.25">
      <c r="A420" s="4"/>
      <c r="B420" s="5">
        <v>370</v>
      </c>
      <c r="C420" s="6" t="str">
        <f>IFERROR(VLOOKUP(B420,[1]customers!$A:$B,2,0),"")</f>
        <v>Kennametal Inc</v>
      </c>
      <c r="D420" s="5" t="s">
        <v>1398</v>
      </c>
      <c r="E420" s="5" t="s">
        <v>1410</v>
      </c>
      <c r="F420" s="5"/>
      <c r="G420" s="5" t="s">
        <v>1411</v>
      </c>
      <c r="H420" s="5"/>
      <c r="I420" s="5">
        <v>4406798238</v>
      </c>
      <c r="J420" s="7"/>
    </row>
    <row r="421" spans="1:10" ht="18" customHeight="1" x14ac:dyDescent="0.25">
      <c r="A421" s="8"/>
      <c r="B421" s="9">
        <v>370</v>
      </c>
      <c r="C421" s="6" t="str">
        <f>IFERROR(VLOOKUP(B421,[1]customers!$A:$B,2,0),"")</f>
        <v>Kennametal Inc</v>
      </c>
      <c r="D421" s="9" t="s">
        <v>1398</v>
      </c>
      <c r="E421" s="9" t="s">
        <v>1412</v>
      </c>
      <c r="F421" s="9"/>
      <c r="G421" s="9"/>
      <c r="H421" s="9" t="s">
        <v>1413</v>
      </c>
      <c r="I421" s="9"/>
      <c r="J421" s="10"/>
    </row>
    <row r="422" spans="1:10" ht="18" customHeight="1" x14ac:dyDescent="0.25">
      <c r="A422" s="4"/>
      <c r="B422" s="5">
        <v>371</v>
      </c>
      <c r="C422" s="6" t="str">
        <f>IFERROR(VLOOKUP(B422,[1]customers!$A:$B,2,0),"")</f>
        <v>Kent Adhesive Products Co</v>
      </c>
      <c r="D422" s="5" t="s">
        <v>1414</v>
      </c>
      <c r="E422" s="5" t="s">
        <v>1415</v>
      </c>
      <c r="F422" s="5"/>
      <c r="G422" s="5" t="s">
        <v>1416</v>
      </c>
      <c r="H422" s="5"/>
      <c r="I422" s="5" t="s">
        <v>1417</v>
      </c>
      <c r="J422" s="7"/>
    </row>
    <row r="423" spans="1:10" ht="18" customHeight="1" x14ac:dyDescent="0.25">
      <c r="A423" s="8"/>
      <c r="B423" s="9">
        <v>372</v>
      </c>
      <c r="C423" s="6" t="str">
        <f>IFERROR(VLOOKUP(B423,[1]customers!$A:$B,2,0),"")</f>
        <v>Kent Automation</v>
      </c>
      <c r="D423" s="9" t="s">
        <v>1418</v>
      </c>
      <c r="E423" s="9" t="s">
        <v>1419</v>
      </c>
      <c r="F423" s="9"/>
      <c r="G423" s="9" t="s">
        <v>1420</v>
      </c>
      <c r="H423" s="9"/>
      <c r="I423" s="9" t="s">
        <v>1421</v>
      </c>
      <c r="J423" s="10"/>
    </row>
    <row r="424" spans="1:10" ht="18" customHeight="1" x14ac:dyDescent="0.25">
      <c r="A424" s="4"/>
      <c r="B424" s="5">
        <v>372</v>
      </c>
      <c r="C424" s="6" t="str">
        <f>IFERROR(VLOOKUP(B424,[1]customers!$A:$B,2,0),"")</f>
        <v>Kent Automation</v>
      </c>
      <c r="D424" s="5" t="s">
        <v>1418</v>
      </c>
      <c r="E424" s="5" t="s">
        <v>1422</v>
      </c>
      <c r="F424" s="5"/>
      <c r="G424" s="5" t="s">
        <v>1423</v>
      </c>
      <c r="H424" s="5"/>
      <c r="I424" s="5" t="s">
        <v>1424</v>
      </c>
      <c r="J424" s="7"/>
    </row>
    <row r="425" spans="1:10" ht="18" customHeight="1" x14ac:dyDescent="0.25">
      <c r="A425" s="8"/>
      <c r="B425" s="9">
        <v>372</v>
      </c>
      <c r="C425" s="6" t="str">
        <f>IFERROR(VLOOKUP(B425,[1]customers!$A:$B,2,0),"")</f>
        <v>Kent Automation</v>
      </c>
      <c r="D425" s="9" t="s">
        <v>1418</v>
      </c>
      <c r="E425" s="9" t="s">
        <v>1422</v>
      </c>
      <c r="F425" s="9"/>
      <c r="G425" s="9" t="s">
        <v>1423</v>
      </c>
      <c r="H425" s="9"/>
      <c r="I425" s="9" t="s">
        <v>1425</v>
      </c>
      <c r="J425" s="10"/>
    </row>
    <row r="426" spans="1:10" ht="18" customHeight="1" x14ac:dyDescent="0.25">
      <c r="A426" s="4"/>
      <c r="B426" s="5">
        <v>374</v>
      </c>
      <c r="C426" s="6" t="str">
        <f>IFERROR(VLOOKUP(B426,[1]customers!$A:$B,2,0),"")</f>
        <v>Kent Corporation</v>
      </c>
      <c r="D426" s="5" t="s">
        <v>1426</v>
      </c>
      <c r="E426" s="5" t="s">
        <v>1427</v>
      </c>
      <c r="F426" s="5"/>
      <c r="G426" s="5" t="s">
        <v>1428</v>
      </c>
      <c r="H426" s="5" t="s">
        <v>1429</v>
      </c>
      <c r="I426" s="5"/>
      <c r="J426" s="7"/>
    </row>
    <row r="427" spans="1:10" ht="18" customHeight="1" x14ac:dyDescent="0.25">
      <c r="A427" s="8"/>
      <c r="B427" s="9">
        <v>377</v>
      </c>
      <c r="C427" s="6" t="str">
        <f>IFERROR(VLOOKUP(B427,[1]customers!$A:$B,2,0),"")</f>
        <v>Kiraly Tool and Die</v>
      </c>
      <c r="D427" s="9" t="s">
        <v>1430</v>
      </c>
      <c r="E427" s="9" t="s">
        <v>1431</v>
      </c>
      <c r="F427" s="9"/>
      <c r="G427" s="9" t="s">
        <v>1432</v>
      </c>
      <c r="H427" s="9"/>
      <c r="I427" s="9" t="s">
        <v>1433</v>
      </c>
      <c r="J427" s="10"/>
    </row>
    <row r="428" spans="1:10" ht="18" customHeight="1" x14ac:dyDescent="0.25">
      <c r="A428" s="4"/>
      <c r="B428" s="5">
        <v>382</v>
      </c>
      <c r="C428" s="6" t="str">
        <f>IFERROR(VLOOKUP(B428,[1]customers!$A:$B,2,0),"")</f>
        <v>Kyocera Hardcoating Tech</v>
      </c>
      <c r="D428" s="5" t="s">
        <v>1434</v>
      </c>
      <c r="E428" s="5" t="s">
        <v>1435</v>
      </c>
      <c r="F428" s="5"/>
      <c r="G428" s="5" t="s">
        <v>1436</v>
      </c>
      <c r="H428" s="5"/>
      <c r="I428" s="5" t="s">
        <v>1437</v>
      </c>
      <c r="J428" s="7"/>
    </row>
    <row r="429" spans="1:10" ht="18" customHeight="1" x14ac:dyDescent="0.25">
      <c r="A429" s="8"/>
      <c r="B429" s="9">
        <v>382</v>
      </c>
      <c r="C429" s="6" t="str">
        <f>IFERROR(VLOOKUP(B429,[1]customers!$A:$B,2,0),"")</f>
        <v>Kyocera Hardcoating Tech</v>
      </c>
      <c r="D429" s="9" t="s">
        <v>1434</v>
      </c>
      <c r="E429" s="9" t="s">
        <v>1438</v>
      </c>
      <c r="F429" s="9"/>
      <c r="G429" s="9" t="s">
        <v>1439</v>
      </c>
      <c r="H429" s="9"/>
      <c r="I429" s="9" t="s">
        <v>1437</v>
      </c>
      <c r="J429" s="10"/>
    </row>
    <row r="430" spans="1:10" ht="18" customHeight="1" x14ac:dyDescent="0.25">
      <c r="A430" s="4"/>
      <c r="B430" s="5">
        <v>382</v>
      </c>
      <c r="C430" s="6" t="str">
        <f>IFERROR(VLOOKUP(B430,[1]customers!$A:$B,2,0),"")</f>
        <v>Kyocera Hardcoating Tech</v>
      </c>
      <c r="D430" s="5" t="s">
        <v>1434</v>
      </c>
      <c r="E430" s="5" t="s">
        <v>1440</v>
      </c>
      <c r="F430" s="5"/>
      <c r="G430" s="5" t="s">
        <v>1441</v>
      </c>
      <c r="H430" s="5"/>
      <c r="I430" s="5" t="s">
        <v>1437</v>
      </c>
      <c r="J430" s="7"/>
    </row>
    <row r="431" spans="1:10" ht="18" customHeight="1" x14ac:dyDescent="0.25">
      <c r="A431" s="8"/>
      <c r="B431" s="9">
        <v>382</v>
      </c>
      <c r="C431" s="6" t="str">
        <f>IFERROR(VLOOKUP(B431,[1]customers!$A:$B,2,0),"")</f>
        <v>Kyocera Hardcoating Tech</v>
      </c>
      <c r="D431" s="9" t="s">
        <v>1434</v>
      </c>
      <c r="E431" s="9" t="s">
        <v>1442</v>
      </c>
      <c r="F431" s="9"/>
      <c r="G431" s="9" t="s">
        <v>1443</v>
      </c>
      <c r="H431" s="9"/>
      <c r="I431" s="9" t="s">
        <v>1437</v>
      </c>
      <c r="J431" s="10"/>
    </row>
    <row r="432" spans="1:10" ht="18" customHeight="1" x14ac:dyDescent="0.25">
      <c r="A432" s="4"/>
      <c r="B432" s="5">
        <v>383</v>
      </c>
      <c r="C432" s="6" t="str">
        <f>IFERROR(VLOOKUP(B432,[1]customers!$A:$B,2,0),"")</f>
        <v>Kyoto Cooling</v>
      </c>
      <c r="D432" s="5" t="s">
        <v>1444</v>
      </c>
      <c r="E432" s="5" t="s">
        <v>1445</v>
      </c>
      <c r="F432" s="5"/>
      <c r="G432" s="5" t="s">
        <v>1446</v>
      </c>
      <c r="H432" s="5" t="s">
        <v>1447</v>
      </c>
      <c r="I432" s="5"/>
      <c r="J432" s="7"/>
    </row>
    <row r="433" spans="1:10" ht="18" customHeight="1" x14ac:dyDescent="0.25">
      <c r="A433" s="8"/>
      <c r="B433" s="9">
        <v>385</v>
      </c>
      <c r="C433" s="6" t="str">
        <f>IFERROR(VLOOKUP(B433,[1]customers!$A:$B,2,0),"")</f>
        <v>Landmark Plastic Corp</v>
      </c>
      <c r="D433" s="9" t="s">
        <v>1448</v>
      </c>
      <c r="E433" s="9" t="s">
        <v>1449</v>
      </c>
      <c r="F433" s="9"/>
      <c r="G433" s="9" t="s">
        <v>1450</v>
      </c>
      <c r="H433" s="9" t="s">
        <v>1451</v>
      </c>
      <c r="I433" s="9" t="s">
        <v>1452</v>
      </c>
      <c r="J433" s="10"/>
    </row>
    <row r="434" spans="1:10" ht="18" customHeight="1" x14ac:dyDescent="0.25">
      <c r="A434" s="4"/>
      <c r="B434" s="5">
        <v>387</v>
      </c>
      <c r="C434" s="6" t="str">
        <f>IFERROR(VLOOKUP(B434,[1]customers!$A:$B,2,0),"")</f>
        <v>Layco Electric</v>
      </c>
      <c r="D434" s="5" t="s">
        <v>1453</v>
      </c>
      <c r="E434" s="5" t="s">
        <v>1454</v>
      </c>
      <c r="F434" s="5"/>
      <c r="G434" s="5" t="s">
        <v>1455</v>
      </c>
      <c r="H434" s="5" t="s">
        <v>1456</v>
      </c>
      <c r="I434" s="5"/>
      <c r="J434" s="7"/>
    </row>
    <row r="435" spans="1:10" ht="18" customHeight="1" x14ac:dyDescent="0.25">
      <c r="A435" s="8"/>
      <c r="B435" s="9">
        <v>388</v>
      </c>
      <c r="C435" s="6" t="str">
        <f>IFERROR(VLOOKUP(B435,[1]customers!$A:$B,2,0),"")</f>
        <v>Lefko Plastic Products Inc</v>
      </c>
      <c r="D435" s="9" t="s">
        <v>1457</v>
      </c>
      <c r="E435" s="9" t="s">
        <v>1458</v>
      </c>
      <c r="F435" s="9"/>
      <c r="G435" s="9" t="s">
        <v>1459</v>
      </c>
      <c r="H435" s="9" t="s">
        <v>1460</v>
      </c>
      <c r="I435" s="9"/>
      <c r="J435" s="10"/>
    </row>
    <row r="436" spans="1:10" ht="18" customHeight="1" x14ac:dyDescent="0.25">
      <c r="A436" s="4"/>
      <c r="B436" s="5">
        <v>389</v>
      </c>
      <c r="C436" s="6" t="str">
        <f>IFERROR(VLOOKUP(B436,[1]customers!$A:$B,2,0),"")</f>
        <v>Lehi Valley</v>
      </c>
      <c r="D436" s="5" t="s">
        <v>1461</v>
      </c>
      <c r="E436" s="5" t="s">
        <v>1462</v>
      </c>
      <c r="F436" s="5"/>
      <c r="G436" s="5" t="s">
        <v>1463</v>
      </c>
      <c r="H436" s="5" t="s">
        <v>577</v>
      </c>
      <c r="I436" s="5" t="s">
        <v>1464</v>
      </c>
      <c r="J436" s="7"/>
    </row>
    <row r="437" spans="1:10" ht="18" customHeight="1" x14ac:dyDescent="0.25">
      <c r="A437" s="4"/>
      <c r="B437" s="5">
        <v>392</v>
      </c>
      <c r="C437" s="6" t="str">
        <f>IFERROR(VLOOKUP(B437,[1]customers!$A:$B,2,0),"")</f>
        <v>Little Tikes</v>
      </c>
      <c r="D437" s="5" t="s">
        <v>1465</v>
      </c>
      <c r="E437" s="5" t="s">
        <v>1466</v>
      </c>
      <c r="F437" s="5"/>
      <c r="G437" s="5" t="s">
        <v>1467</v>
      </c>
      <c r="H437" s="5"/>
      <c r="I437" s="5" t="s">
        <v>1468</v>
      </c>
      <c r="J437" s="7"/>
    </row>
    <row r="438" spans="1:10" ht="18" customHeight="1" x14ac:dyDescent="0.25">
      <c r="A438" s="8"/>
      <c r="B438" s="9">
        <v>392</v>
      </c>
      <c r="C438" s="6" t="str">
        <f>IFERROR(VLOOKUP(B438,[1]customers!$A:$B,2,0),"")</f>
        <v>Little Tikes</v>
      </c>
      <c r="D438" s="9" t="s">
        <v>1465</v>
      </c>
      <c r="E438" s="9" t="s">
        <v>1469</v>
      </c>
      <c r="F438" s="9"/>
      <c r="G438" s="9" t="s">
        <v>1470</v>
      </c>
      <c r="H438" s="9"/>
      <c r="I438" s="9" t="s">
        <v>1471</v>
      </c>
      <c r="J438" s="10"/>
    </row>
    <row r="439" spans="1:10" ht="18" customHeight="1" x14ac:dyDescent="0.25">
      <c r="A439" s="4"/>
      <c r="B439" s="5">
        <v>392</v>
      </c>
      <c r="C439" s="6" t="str">
        <f>IFERROR(VLOOKUP(B439,[1]customers!$A:$B,2,0),"")</f>
        <v>Little Tikes</v>
      </c>
      <c r="D439" s="5" t="s">
        <v>1465</v>
      </c>
      <c r="E439" s="5" t="s">
        <v>1472</v>
      </c>
      <c r="F439" s="5"/>
      <c r="G439" s="5"/>
      <c r="H439" s="5" t="s">
        <v>1473</v>
      </c>
      <c r="I439" s="5"/>
      <c r="J439" s="7"/>
    </row>
    <row r="440" spans="1:10" ht="18" customHeight="1" x14ac:dyDescent="0.25">
      <c r="A440" s="8"/>
      <c r="B440" s="9">
        <v>392</v>
      </c>
      <c r="C440" s="6" t="str">
        <f>IFERROR(VLOOKUP(B440,[1]customers!$A:$B,2,0),"")</f>
        <v>Little Tikes</v>
      </c>
      <c r="D440" s="9" t="s">
        <v>1465</v>
      </c>
      <c r="E440" s="9" t="s">
        <v>1474</v>
      </c>
      <c r="F440" s="9"/>
      <c r="G440" s="9" t="s">
        <v>1475</v>
      </c>
      <c r="H440" s="9"/>
      <c r="I440" s="9" t="s">
        <v>1476</v>
      </c>
      <c r="J440" s="10"/>
    </row>
    <row r="441" spans="1:10" ht="18" customHeight="1" x14ac:dyDescent="0.25">
      <c r="A441" s="4"/>
      <c r="B441" s="5">
        <v>392</v>
      </c>
      <c r="C441" s="6" t="str">
        <f>IFERROR(VLOOKUP(B441,[1]customers!$A:$B,2,0),"")</f>
        <v>Little Tikes</v>
      </c>
      <c r="D441" s="5" t="s">
        <v>1465</v>
      </c>
      <c r="E441" s="5" t="s">
        <v>1477</v>
      </c>
      <c r="F441" s="5"/>
      <c r="G441" s="5" t="s">
        <v>1478</v>
      </c>
      <c r="H441" s="5"/>
      <c r="I441" s="5" t="s">
        <v>1468</v>
      </c>
      <c r="J441" s="7"/>
    </row>
    <row r="442" spans="1:10" ht="18" customHeight="1" x14ac:dyDescent="0.25">
      <c r="A442" s="8"/>
      <c r="B442" s="9">
        <v>392</v>
      </c>
      <c r="C442" s="6" t="str">
        <f>IFERROR(VLOOKUP(B442,[1]customers!$A:$B,2,0),"")</f>
        <v>Little Tikes</v>
      </c>
      <c r="D442" s="9" t="s">
        <v>1465</v>
      </c>
      <c r="E442" s="9" t="s">
        <v>1479</v>
      </c>
      <c r="F442" s="9"/>
      <c r="G442" s="9" t="s">
        <v>1480</v>
      </c>
      <c r="H442" s="9"/>
      <c r="I442" s="9" t="s">
        <v>1481</v>
      </c>
      <c r="J442" s="10"/>
    </row>
    <row r="443" spans="1:10" ht="18" customHeight="1" x14ac:dyDescent="0.25">
      <c r="A443" s="4"/>
      <c r="B443" s="5">
        <v>392</v>
      </c>
      <c r="C443" s="6" t="str">
        <f>IFERROR(VLOOKUP(B443,[1]customers!$A:$B,2,0),"")</f>
        <v>Little Tikes</v>
      </c>
      <c r="D443" s="5" t="s">
        <v>1465</v>
      </c>
      <c r="E443" s="5" t="s">
        <v>1482</v>
      </c>
      <c r="F443" s="5"/>
      <c r="G443" s="5" t="s">
        <v>1483</v>
      </c>
      <c r="H443" s="5"/>
      <c r="I443" s="5" t="s">
        <v>1484</v>
      </c>
      <c r="J443" s="7"/>
    </row>
    <row r="444" spans="1:10" ht="18" customHeight="1" x14ac:dyDescent="0.25">
      <c r="A444" s="8"/>
      <c r="B444" s="9">
        <v>392</v>
      </c>
      <c r="C444" s="6" t="str">
        <f>IFERROR(VLOOKUP(B444,[1]customers!$A:$B,2,0),"")</f>
        <v>Little Tikes</v>
      </c>
      <c r="D444" s="9" t="s">
        <v>1465</v>
      </c>
      <c r="E444" s="9" t="s">
        <v>1485</v>
      </c>
      <c r="F444" s="9"/>
      <c r="G444" s="9" t="s">
        <v>1486</v>
      </c>
      <c r="H444" s="9"/>
      <c r="I444" s="9" t="s">
        <v>1487</v>
      </c>
      <c r="J444" s="10"/>
    </row>
    <row r="445" spans="1:10" ht="18" customHeight="1" x14ac:dyDescent="0.25">
      <c r="A445" s="4"/>
      <c r="B445" s="5">
        <v>392</v>
      </c>
      <c r="C445" s="6" t="str">
        <f>IFERROR(VLOOKUP(B445,[1]customers!$A:$B,2,0),"")</f>
        <v>Little Tikes</v>
      </c>
      <c r="D445" s="5" t="s">
        <v>1465</v>
      </c>
      <c r="E445" s="5" t="s">
        <v>1488</v>
      </c>
      <c r="F445" s="5"/>
      <c r="G445" s="5" t="s">
        <v>1489</v>
      </c>
      <c r="H445" s="5"/>
      <c r="I445" s="5" t="s">
        <v>1490</v>
      </c>
      <c r="J445" s="7"/>
    </row>
    <row r="446" spans="1:10" ht="18" customHeight="1" x14ac:dyDescent="0.25">
      <c r="A446" s="8"/>
      <c r="B446" s="9">
        <v>392</v>
      </c>
      <c r="C446" s="6" t="str">
        <f>IFERROR(VLOOKUP(B446,[1]customers!$A:$B,2,0),"")</f>
        <v>Little Tikes</v>
      </c>
      <c r="D446" s="9" t="s">
        <v>1465</v>
      </c>
      <c r="E446" s="9" t="s">
        <v>1491</v>
      </c>
      <c r="F446" s="9"/>
      <c r="G446" s="9" t="s">
        <v>1492</v>
      </c>
      <c r="H446" s="9"/>
      <c r="I446" s="9" t="s">
        <v>1487</v>
      </c>
      <c r="J446" s="10"/>
    </row>
    <row r="447" spans="1:10" ht="18" customHeight="1" x14ac:dyDescent="0.25">
      <c r="A447" s="8"/>
      <c r="B447" s="9">
        <v>394</v>
      </c>
      <c r="C447" s="6" t="str">
        <f>IFERROR(VLOOKUP(B447,[1]customers!$A:$B,2,0),"")</f>
        <v>Locus Holdings</v>
      </c>
      <c r="D447" s="9" t="s">
        <v>1493</v>
      </c>
      <c r="E447" s="9" t="s">
        <v>1494</v>
      </c>
      <c r="F447" s="9"/>
      <c r="G447" s="9" t="s">
        <v>1495</v>
      </c>
      <c r="H447" s="9"/>
      <c r="I447" s="9" t="s">
        <v>1496</v>
      </c>
      <c r="J447" s="10"/>
    </row>
    <row r="448" spans="1:10" ht="18" customHeight="1" x14ac:dyDescent="0.25">
      <c r="A448" s="4"/>
      <c r="B448" s="5">
        <v>500</v>
      </c>
      <c r="C448" s="6" t="str">
        <f>IFERROR(VLOOKUP(B448,[1]customers!$A:$B,2,0),"")</f>
        <v>Perry Group LTD</v>
      </c>
      <c r="D448" s="5" t="s">
        <v>1497</v>
      </c>
      <c r="E448" s="5" t="s">
        <v>1498</v>
      </c>
      <c r="F448" s="5"/>
      <c r="G448" s="5" t="s">
        <v>1499</v>
      </c>
      <c r="H448" s="5" t="s">
        <v>1500</v>
      </c>
      <c r="I448" s="5" t="s">
        <v>1501</v>
      </c>
      <c r="J448" s="7"/>
    </row>
    <row r="449" spans="1:10" ht="18" customHeight="1" x14ac:dyDescent="0.25">
      <c r="A449" s="8"/>
      <c r="B449" s="9">
        <v>500</v>
      </c>
      <c r="C449" s="6" t="str">
        <f>IFERROR(VLOOKUP(B449,[1]customers!$A:$B,2,0),"")</f>
        <v>Perry Group LTD</v>
      </c>
      <c r="D449" s="9" t="s">
        <v>1497</v>
      </c>
      <c r="E449" s="9" t="s">
        <v>1502</v>
      </c>
      <c r="F449" s="9"/>
      <c r="G449" s="9" t="s">
        <v>1503</v>
      </c>
      <c r="H449" s="9" t="s">
        <v>1504</v>
      </c>
      <c r="I449" s="9"/>
      <c r="J449" s="10"/>
    </row>
    <row r="450" spans="1:10" ht="18" customHeight="1" x14ac:dyDescent="0.25">
      <c r="A450" s="4"/>
      <c r="B450" s="5">
        <v>500</v>
      </c>
      <c r="C450" s="6" t="str">
        <f>IFERROR(VLOOKUP(B450,[1]customers!$A:$B,2,0),"")</f>
        <v>Perry Group LTD</v>
      </c>
      <c r="D450" s="5" t="s">
        <v>1497</v>
      </c>
      <c r="E450" s="5" t="s">
        <v>1505</v>
      </c>
      <c r="F450" s="5"/>
      <c r="G450" s="5" t="s">
        <v>1506</v>
      </c>
      <c r="H450" s="5" t="s">
        <v>1507</v>
      </c>
      <c r="I450" s="5" t="s">
        <v>1501</v>
      </c>
      <c r="J450" s="7"/>
    </row>
    <row r="451" spans="1:10" ht="18" customHeight="1" x14ac:dyDescent="0.25">
      <c r="A451" s="8"/>
      <c r="B451" s="9">
        <v>500</v>
      </c>
      <c r="C451" s="6" t="str">
        <f>IFERROR(VLOOKUP(B451,[1]customers!$A:$B,2,0),"")</f>
        <v>Perry Group LTD</v>
      </c>
      <c r="D451" s="9" t="s">
        <v>1497</v>
      </c>
      <c r="E451" s="9" t="s">
        <v>1508</v>
      </c>
      <c r="F451" s="9"/>
      <c r="G451" s="9" t="s">
        <v>1509</v>
      </c>
      <c r="H451" s="9" t="s">
        <v>1510</v>
      </c>
      <c r="I451" s="9" t="s">
        <v>1501</v>
      </c>
      <c r="J451" s="10"/>
    </row>
    <row r="452" spans="1:10" ht="18" customHeight="1" x14ac:dyDescent="0.25">
      <c r="A452" s="4"/>
      <c r="B452" s="5">
        <v>500</v>
      </c>
      <c r="C452" s="6" t="str">
        <f>IFERROR(VLOOKUP(B452,[1]customers!$A:$B,2,0),"")</f>
        <v>Perry Group LTD</v>
      </c>
      <c r="D452" s="5" t="s">
        <v>1497</v>
      </c>
      <c r="E452" s="5" t="s">
        <v>1511</v>
      </c>
      <c r="F452" s="5"/>
      <c r="G452" s="5" t="s">
        <v>1512</v>
      </c>
      <c r="H452" s="5" t="s">
        <v>1513</v>
      </c>
      <c r="I452" s="5" t="s">
        <v>1501</v>
      </c>
      <c r="J452" s="7"/>
    </row>
    <row r="453" spans="1:10" ht="18" customHeight="1" x14ac:dyDescent="0.25">
      <c r="A453" s="8"/>
      <c r="B453" s="9">
        <v>500</v>
      </c>
      <c r="C453" s="6" t="str">
        <f>IFERROR(VLOOKUP(B453,[1]customers!$A:$B,2,0),"")</f>
        <v>Perry Group LTD</v>
      </c>
      <c r="D453" s="9" t="s">
        <v>1497</v>
      </c>
      <c r="E453" s="9" t="s">
        <v>1514</v>
      </c>
      <c r="F453" s="9"/>
      <c r="G453" s="9" t="s">
        <v>1515</v>
      </c>
      <c r="H453" s="9" t="s">
        <v>1516</v>
      </c>
      <c r="I453" s="9" t="s">
        <v>1501</v>
      </c>
      <c r="J453" s="10"/>
    </row>
    <row r="454" spans="1:10" ht="18" customHeight="1" x14ac:dyDescent="0.25">
      <c r="A454" s="4"/>
      <c r="B454" s="5">
        <v>500</v>
      </c>
      <c r="C454" s="6" t="str">
        <f>IFERROR(VLOOKUP(B454,[1]customers!$A:$B,2,0),"")</f>
        <v>Perry Group LTD</v>
      </c>
      <c r="D454" s="5" t="s">
        <v>1497</v>
      </c>
      <c r="E454" s="5" t="s">
        <v>1517</v>
      </c>
      <c r="F454" s="5"/>
      <c r="G454" s="5" t="s">
        <v>1518</v>
      </c>
      <c r="H454" s="5"/>
      <c r="I454" s="5" t="s">
        <v>1501</v>
      </c>
      <c r="J454" s="7"/>
    </row>
    <row r="455" spans="1:10" ht="18" customHeight="1" x14ac:dyDescent="0.25">
      <c r="A455" s="8"/>
      <c r="B455" s="9">
        <v>500</v>
      </c>
      <c r="C455" s="6" t="str">
        <f>IFERROR(VLOOKUP(B455,[1]customers!$A:$B,2,0),"")</f>
        <v>Perry Group LTD</v>
      </c>
      <c r="D455" s="9" t="s">
        <v>1497</v>
      </c>
      <c r="E455" s="9" t="s">
        <v>1519</v>
      </c>
      <c r="F455" s="9"/>
      <c r="G455" s="9" t="s">
        <v>1520</v>
      </c>
      <c r="H455" s="9" t="s">
        <v>1521</v>
      </c>
      <c r="I455" s="9" t="s">
        <v>1501</v>
      </c>
      <c r="J455" s="10"/>
    </row>
    <row r="456" spans="1:10" ht="18" customHeight="1" x14ac:dyDescent="0.25">
      <c r="A456" s="4"/>
      <c r="B456" s="5">
        <v>500</v>
      </c>
      <c r="C456" s="6" t="str">
        <f>IFERROR(VLOOKUP(B456,[1]customers!$A:$B,2,0),"")</f>
        <v>Perry Group LTD</v>
      </c>
      <c r="D456" s="5" t="s">
        <v>1497</v>
      </c>
      <c r="E456" s="5" t="s">
        <v>1522</v>
      </c>
      <c r="F456" s="5"/>
      <c r="G456" s="5" t="s">
        <v>1523</v>
      </c>
      <c r="H456" s="5" t="s">
        <v>1524</v>
      </c>
      <c r="I456" s="5" t="s">
        <v>1501</v>
      </c>
      <c r="J456" s="7"/>
    </row>
    <row r="457" spans="1:10" ht="18" customHeight="1" x14ac:dyDescent="0.25">
      <c r="A457" s="8"/>
      <c r="B457" s="9">
        <v>500</v>
      </c>
      <c r="C457" s="6" t="str">
        <f>IFERROR(VLOOKUP(B457,[1]customers!$A:$B,2,0),"")</f>
        <v>Perry Group LTD</v>
      </c>
      <c r="D457" s="9" t="s">
        <v>1497</v>
      </c>
      <c r="E457" s="9" t="s">
        <v>1525</v>
      </c>
      <c r="F457" s="9"/>
      <c r="G457" s="9" t="s">
        <v>1526</v>
      </c>
      <c r="H457" s="9" t="s">
        <v>1527</v>
      </c>
      <c r="I457" s="9" t="s">
        <v>1501</v>
      </c>
      <c r="J457" s="10"/>
    </row>
    <row r="458" spans="1:10" ht="18" customHeight="1" x14ac:dyDescent="0.25">
      <c r="A458" s="4"/>
      <c r="B458" s="5">
        <v>500</v>
      </c>
      <c r="C458" s="6" t="str">
        <f>IFERROR(VLOOKUP(B458,[1]customers!$A:$B,2,0),"")</f>
        <v>Perry Group LTD</v>
      </c>
      <c r="D458" s="5" t="s">
        <v>1497</v>
      </c>
      <c r="E458" s="5" t="s">
        <v>1528</v>
      </c>
      <c r="F458" s="5"/>
      <c r="G458" s="5" t="s">
        <v>1529</v>
      </c>
      <c r="H458" s="5" t="s">
        <v>1530</v>
      </c>
      <c r="I458" s="5" t="s">
        <v>1501</v>
      </c>
      <c r="J458" s="7"/>
    </row>
    <row r="459" spans="1:10" ht="18" customHeight="1" x14ac:dyDescent="0.25">
      <c r="A459" s="8"/>
      <c r="B459" s="9">
        <v>500</v>
      </c>
      <c r="C459" s="6" t="str">
        <f>IFERROR(VLOOKUP(B459,[1]customers!$A:$B,2,0),"")</f>
        <v>Perry Group LTD</v>
      </c>
      <c r="D459" s="9" t="s">
        <v>1497</v>
      </c>
      <c r="E459" s="9" t="s">
        <v>1531</v>
      </c>
      <c r="F459" s="9"/>
      <c r="G459" s="9" t="s">
        <v>1532</v>
      </c>
      <c r="H459" s="9" t="s">
        <v>1533</v>
      </c>
      <c r="I459" s="9" t="s">
        <v>1501</v>
      </c>
      <c r="J459" s="10"/>
    </row>
    <row r="460" spans="1:10" ht="18" customHeight="1" x14ac:dyDescent="0.25">
      <c r="A460" s="4"/>
      <c r="B460" s="5">
        <v>500</v>
      </c>
      <c r="C460" s="6" t="str">
        <f>IFERROR(VLOOKUP(B460,[1]customers!$A:$B,2,0),"")</f>
        <v>Perry Group LTD</v>
      </c>
      <c r="D460" s="5" t="s">
        <v>1497</v>
      </c>
      <c r="E460" s="5" t="s">
        <v>1534</v>
      </c>
      <c r="F460" s="5"/>
      <c r="G460" s="5"/>
      <c r="H460" s="5"/>
      <c r="I460" s="5" t="s">
        <v>1535</v>
      </c>
      <c r="J460" s="7"/>
    </row>
    <row r="461" spans="1:10" ht="18" customHeight="1" x14ac:dyDescent="0.25">
      <c r="A461" s="8"/>
      <c r="B461" s="9">
        <v>500</v>
      </c>
      <c r="C461" s="6" t="str">
        <f>IFERROR(VLOOKUP(B461,[1]customers!$A:$B,2,0),"")</f>
        <v>Perry Group LTD</v>
      </c>
      <c r="D461" s="9" t="s">
        <v>1497</v>
      </c>
      <c r="E461" s="9" t="s">
        <v>1536</v>
      </c>
      <c r="F461" s="9"/>
      <c r="G461" s="9" t="s">
        <v>1537</v>
      </c>
      <c r="H461" s="9" t="s">
        <v>1538</v>
      </c>
      <c r="I461" s="9" t="s">
        <v>1501</v>
      </c>
      <c r="J461" s="10"/>
    </row>
    <row r="462" spans="1:10" ht="18" customHeight="1" x14ac:dyDescent="0.25">
      <c r="A462" s="4"/>
      <c r="B462" s="5">
        <v>398</v>
      </c>
      <c r="C462" s="6" t="str">
        <f>IFERROR(VLOOKUP(B462,[1]customers!$A:$B,2,0),"")</f>
        <v>M&amp;M Equipment Corp</v>
      </c>
      <c r="D462" s="5" t="s">
        <v>1539</v>
      </c>
      <c r="E462" s="5" t="s">
        <v>1540</v>
      </c>
      <c r="F462" s="5"/>
      <c r="G462" s="5" t="s">
        <v>1541</v>
      </c>
      <c r="H462" s="5"/>
      <c r="I462" s="5" t="s">
        <v>1542</v>
      </c>
      <c r="J462" s="7"/>
    </row>
    <row r="463" spans="1:10" ht="18" customHeight="1" x14ac:dyDescent="0.25">
      <c r="A463" s="4"/>
      <c r="B463" s="5">
        <v>399</v>
      </c>
      <c r="C463" s="6" t="str">
        <f>IFERROR(VLOOKUP(B463,[1]customers!$A:$B,2,0),"")</f>
        <v>MAC LTT</v>
      </c>
      <c r="D463" s="5" t="s">
        <v>1543</v>
      </c>
      <c r="E463" s="5" t="s">
        <v>1544</v>
      </c>
      <c r="F463" s="5"/>
      <c r="G463" s="5" t="s">
        <v>1545</v>
      </c>
      <c r="H463" s="5" t="s">
        <v>1546</v>
      </c>
      <c r="I463" s="5"/>
      <c r="J463" s="7"/>
    </row>
    <row r="464" spans="1:10" ht="18" customHeight="1" x14ac:dyDescent="0.25">
      <c r="A464" s="8"/>
      <c r="B464" s="9">
        <v>403</v>
      </c>
      <c r="C464" s="6" t="str">
        <f>IFERROR(VLOOKUP(B464,[1]customers!$A:$B,2,0),"")</f>
        <v>Machinex Technologies, Inc</v>
      </c>
      <c r="D464" s="9" t="s">
        <v>1547</v>
      </c>
      <c r="E464" s="9" t="s">
        <v>1548</v>
      </c>
      <c r="F464" s="9"/>
      <c r="G464" s="9" t="s">
        <v>1549</v>
      </c>
      <c r="H464" s="9"/>
      <c r="I464" s="9" t="s">
        <v>1550</v>
      </c>
      <c r="J464" s="10"/>
    </row>
    <row r="465" spans="1:10" ht="18" customHeight="1" x14ac:dyDescent="0.25">
      <c r="A465" s="4"/>
      <c r="B465" s="5">
        <v>402</v>
      </c>
      <c r="C465" s="6" t="str">
        <f>IFERROR(VLOOKUP(B465,[1]customers!$A:$B,2,0),"")</f>
        <v>Machinery Values of NJ Inc</v>
      </c>
      <c r="D465" s="5" t="s">
        <v>1551</v>
      </c>
      <c r="E465" s="5" t="s">
        <v>1552</v>
      </c>
      <c r="F465" s="5"/>
      <c r="G465" s="5" t="s">
        <v>1553</v>
      </c>
      <c r="H465" s="5"/>
      <c r="I465" s="5" t="s">
        <v>1554</v>
      </c>
      <c r="J465" s="7"/>
    </row>
    <row r="466" spans="1:10" ht="18" customHeight="1" x14ac:dyDescent="0.25">
      <c r="A466" s="4"/>
      <c r="B466" s="5">
        <v>407</v>
      </c>
      <c r="C466" s="6" t="str">
        <f>IFERROR(VLOOKUP(B466,[1]customers!$A:$B,2,0),"")</f>
        <v>Mahoning Career and Tech Center</v>
      </c>
      <c r="D466" s="5" t="s">
        <v>1555</v>
      </c>
      <c r="E466" s="5" t="s">
        <v>1556</v>
      </c>
      <c r="F466" s="5"/>
      <c r="G466" s="5" t="s">
        <v>1557</v>
      </c>
      <c r="H466" s="5"/>
      <c r="I466" s="5" t="s">
        <v>1558</v>
      </c>
      <c r="J466" s="7"/>
    </row>
    <row r="467" spans="1:10" ht="18" customHeight="1" x14ac:dyDescent="0.25">
      <c r="A467" s="4"/>
      <c r="B467" s="5">
        <v>409</v>
      </c>
      <c r="C467" s="6" t="str">
        <f>IFERROR(VLOOKUP(B467,[1]customers!$A:$B,2,0),"")</f>
        <v>Mantua Manufacturing</v>
      </c>
      <c r="D467" s="5" t="s">
        <v>1559</v>
      </c>
      <c r="E467" s="5" t="s">
        <v>1560</v>
      </c>
      <c r="F467" s="5"/>
      <c r="G467" s="5" t="s">
        <v>1561</v>
      </c>
      <c r="H467" s="5" t="s">
        <v>1562</v>
      </c>
      <c r="I467" s="5"/>
      <c r="J467" s="7"/>
    </row>
    <row r="468" spans="1:10" ht="18" customHeight="1" x14ac:dyDescent="0.25">
      <c r="A468" s="4"/>
      <c r="B468" s="5">
        <v>410</v>
      </c>
      <c r="C468" s="6" t="str">
        <f>IFERROR(VLOOKUP(B468,[1]customers!$A:$B,2,0),"")</f>
        <v>Martin Wheel</v>
      </c>
      <c r="D468" s="5" t="s">
        <v>1563</v>
      </c>
      <c r="E468" s="5" t="s">
        <v>1564</v>
      </c>
      <c r="F468" s="5"/>
      <c r="G468" s="5" t="s">
        <v>1565</v>
      </c>
      <c r="H468" s="5"/>
      <c r="I468" s="5">
        <v>2342088691</v>
      </c>
      <c r="J468" s="7"/>
    </row>
    <row r="469" spans="1:10" ht="18" customHeight="1" x14ac:dyDescent="0.25">
      <c r="A469" s="8"/>
      <c r="B469" s="9">
        <v>410</v>
      </c>
      <c r="C469" s="6" t="str">
        <f>IFERROR(VLOOKUP(B469,[1]customers!$A:$B,2,0),"")</f>
        <v>Martin Wheel</v>
      </c>
      <c r="D469" s="9" t="s">
        <v>1563</v>
      </c>
      <c r="E469" s="9" t="s">
        <v>1566</v>
      </c>
      <c r="F469" s="9"/>
      <c r="G469" s="9"/>
      <c r="H469" s="9"/>
      <c r="I469" s="9" t="s">
        <v>1567</v>
      </c>
      <c r="J469" s="10"/>
    </row>
    <row r="470" spans="1:10" ht="18" customHeight="1" x14ac:dyDescent="0.25">
      <c r="A470" s="8"/>
      <c r="B470" s="9">
        <v>415</v>
      </c>
      <c r="C470" s="6" t="str">
        <f>IFERROR(VLOOKUP(B470,[1]customers!$A:$B,2,0),"")</f>
        <v>McNeil Industries</v>
      </c>
      <c r="D470" s="9" t="s">
        <v>1568</v>
      </c>
      <c r="E470" s="9" t="s">
        <v>1569</v>
      </c>
      <c r="F470" s="9"/>
      <c r="G470" s="9" t="s">
        <v>1570</v>
      </c>
      <c r="H470" s="9"/>
      <c r="I470" s="9" t="s">
        <v>1571</v>
      </c>
      <c r="J470" s="10"/>
    </row>
    <row r="471" spans="1:10" ht="18" customHeight="1" x14ac:dyDescent="0.25">
      <c r="A471" s="8"/>
      <c r="B471" s="9">
        <v>416</v>
      </c>
      <c r="C471" s="6" t="str">
        <f>IFERROR(VLOOKUP(B471,[1]customers!$A:$B,2,0),"")</f>
        <v>Mechanical Systems, Inc</v>
      </c>
      <c r="D471" s="9" t="s">
        <v>1572</v>
      </c>
      <c r="E471" s="9" t="s">
        <v>1573</v>
      </c>
      <c r="F471" s="9"/>
      <c r="G471" s="9" t="s">
        <v>1574</v>
      </c>
      <c r="H471" s="9"/>
      <c r="I471" s="9" t="s">
        <v>1575</v>
      </c>
      <c r="J471" s="10"/>
    </row>
    <row r="472" spans="1:10" ht="18" customHeight="1" x14ac:dyDescent="0.25">
      <c r="A472" s="8"/>
      <c r="B472" s="9">
        <v>417</v>
      </c>
      <c r="C472" s="6" t="str">
        <f>IFERROR(VLOOKUP(B472,[1]customers!$A:$B,2,0),"")</f>
        <v>Meggitt Aircraft Braking Systems</v>
      </c>
      <c r="D472" s="9" t="s">
        <v>1576</v>
      </c>
      <c r="E472" s="9" t="s">
        <v>1577</v>
      </c>
      <c r="F472" s="9"/>
      <c r="G472" s="9" t="s">
        <v>1578</v>
      </c>
      <c r="H472" s="9" t="s">
        <v>1579</v>
      </c>
      <c r="I472" s="9" t="s">
        <v>1580</v>
      </c>
      <c r="J472" s="10"/>
    </row>
    <row r="473" spans="1:10" ht="18" customHeight="1" x14ac:dyDescent="0.25">
      <c r="A473" s="4"/>
      <c r="B473" s="5">
        <v>417</v>
      </c>
      <c r="C473" s="6" t="str">
        <f>IFERROR(VLOOKUP(B473,[1]customers!$A:$B,2,0),"")</f>
        <v>Meggitt Aircraft Braking Systems</v>
      </c>
      <c r="D473" s="5" t="s">
        <v>1576</v>
      </c>
      <c r="E473" s="5" t="s">
        <v>1581</v>
      </c>
      <c r="F473" s="5"/>
      <c r="G473" s="5"/>
      <c r="H473" s="5" t="s">
        <v>1582</v>
      </c>
      <c r="I473" s="5" t="s">
        <v>1583</v>
      </c>
      <c r="J473" s="7"/>
    </row>
    <row r="474" spans="1:10" ht="18" customHeight="1" x14ac:dyDescent="0.25">
      <c r="A474" s="8"/>
      <c r="B474" s="9">
        <v>417</v>
      </c>
      <c r="C474" s="6" t="str">
        <f>IFERROR(VLOOKUP(B474,[1]customers!$A:$B,2,0),"")</f>
        <v>Meggitt Aircraft Braking Systems</v>
      </c>
      <c r="D474" s="9" t="s">
        <v>1576</v>
      </c>
      <c r="E474" s="9" t="s">
        <v>1584</v>
      </c>
      <c r="F474" s="9"/>
      <c r="G474" s="9" t="s">
        <v>1585</v>
      </c>
      <c r="H474" s="9"/>
      <c r="I474" s="9" t="s">
        <v>1582</v>
      </c>
      <c r="J474" s="10"/>
    </row>
    <row r="475" spans="1:10" ht="18" customHeight="1" x14ac:dyDescent="0.25">
      <c r="A475" s="4"/>
      <c r="B475" s="5">
        <v>417</v>
      </c>
      <c r="C475" s="6" t="str">
        <f>IFERROR(VLOOKUP(B475,[1]customers!$A:$B,2,0),"")</f>
        <v>Meggitt Aircraft Braking Systems</v>
      </c>
      <c r="D475" s="5" t="s">
        <v>1576</v>
      </c>
      <c r="E475" s="5" t="s">
        <v>1586</v>
      </c>
      <c r="F475" s="5"/>
      <c r="G475" s="5"/>
      <c r="H475" s="5" t="s">
        <v>1587</v>
      </c>
      <c r="I475" s="5"/>
      <c r="J475" s="7"/>
    </row>
    <row r="476" spans="1:10" ht="18" customHeight="1" x14ac:dyDescent="0.25">
      <c r="A476" s="8"/>
      <c r="B476" s="9">
        <v>608</v>
      </c>
      <c r="C476" s="6" t="str">
        <f>IFERROR(VLOOKUP(B476,[1]customers!$A:$B,2,0),"")</f>
        <v>Screen Americas</v>
      </c>
      <c r="D476" s="9" t="s">
        <v>1588</v>
      </c>
      <c r="E476" s="9" t="s">
        <v>1589</v>
      </c>
      <c r="F476" s="9"/>
      <c r="G476" s="9" t="s">
        <v>1590</v>
      </c>
      <c r="H476" s="9" t="s">
        <v>1591</v>
      </c>
      <c r="I476" s="9"/>
      <c r="J476" s="10"/>
    </row>
    <row r="477" spans="1:10" ht="18" customHeight="1" x14ac:dyDescent="0.25">
      <c r="A477" s="4"/>
      <c r="B477" s="5">
        <v>608</v>
      </c>
      <c r="C477" s="6" t="str">
        <f>IFERROR(VLOOKUP(B477,[1]customers!$A:$B,2,0),"")</f>
        <v>Screen Americas</v>
      </c>
      <c r="D477" s="5" t="s">
        <v>1588</v>
      </c>
      <c r="E477" s="5" t="s">
        <v>1592</v>
      </c>
      <c r="F477" s="5"/>
      <c r="G477" s="5" t="s">
        <v>1593</v>
      </c>
      <c r="H477" s="5"/>
      <c r="I477" s="5" t="s">
        <v>1594</v>
      </c>
      <c r="J477" s="7"/>
    </row>
    <row r="478" spans="1:10" ht="18" customHeight="1" x14ac:dyDescent="0.25">
      <c r="A478" s="8"/>
      <c r="B478" s="9">
        <v>419</v>
      </c>
      <c r="C478" s="6" t="str">
        <f>IFERROR(VLOOKUP(B478,[1]customers!$A:$B,2,0),"")</f>
        <v>Metal Sales</v>
      </c>
      <c r="D478" s="9" t="s">
        <v>1595</v>
      </c>
      <c r="E478" s="9" t="s">
        <v>1596</v>
      </c>
      <c r="F478" s="9"/>
      <c r="G478" s="9" t="s">
        <v>1597</v>
      </c>
      <c r="H478" s="9"/>
      <c r="I478" s="9" t="s">
        <v>1598</v>
      </c>
      <c r="J478" s="10"/>
    </row>
    <row r="479" spans="1:10" ht="18" customHeight="1" x14ac:dyDescent="0.25">
      <c r="A479" s="4"/>
      <c r="B479" s="5">
        <v>419</v>
      </c>
      <c r="C479" s="6" t="str">
        <f>IFERROR(VLOOKUP(B479,[1]customers!$A:$B,2,0),"")</f>
        <v>Metal Sales</v>
      </c>
      <c r="D479" s="5" t="s">
        <v>1595</v>
      </c>
      <c r="E479" s="5" t="s">
        <v>1599</v>
      </c>
      <c r="F479" s="5"/>
      <c r="G479" s="5"/>
      <c r="H479" s="5"/>
      <c r="I479" s="5" t="s">
        <v>1600</v>
      </c>
      <c r="J479" s="7"/>
    </row>
    <row r="480" spans="1:10" ht="18" customHeight="1" x14ac:dyDescent="0.25">
      <c r="A480" s="8"/>
      <c r="B480" s="9">
        <v>420</v>
      </c>
      <c r="C480" s="6" t="str">
        <f>IFERROR(VLOOKUP(B480,[1]customers!$A:$B,2,0),"")</f>
        <v>Metal Supermarkets Akron</v>
      </c>
      <c r="D480" s="9" t="s">
        <v>1601</v>
      </c>
      <c r="E480" s="9" t="s">
        <v>1602</v>
      </c>
      <c r="F480" s="9"/>
      <c r="G480" s="9" t="s">
        <v>1603</v>
      </c>
      <c r="H480" s="9"/>
      <c r="I480" s="9" t="s">
        <v>1604</v>
      </c>
      <c r="J480" s="10"/>
    </row>
    <row r="481" spans="1:10" ht="18" customHeight="1" x14ac:dyDescent="0.25">
      <c r="A481" s="8"/>
      <c r="B481" s="9">
        <v>423</v>
      </c>
      <c r="C481" s="6" t="str">
        <f>IFERROR(VLOOKUP(B481,[1]customers!$A:$B,2,0),"")</f>
        <v>Micro Lapping Barile Precision Grinding</v>
      </c>
      <c r="D481" s="9" t="s">
        <v>1605</v>
      </c>
      <c r="E481" s="9" t="s">
        <v>1606</v>
      </c>
      <c r="F481" s="9"/>
      <c r="G481" s="9" t="s">
        <v>1607</v>
      </c>
      <c r="H481" s="9"/>
      <c r="I481" s="9">
        <v>2162676500</v>
      </c>
      <c r="J481" s="10"/>
    </row>
    <row r="482" spans="1:10" ht="18" customHeight="1" x14ac:dyDescent="0.25">
      <c r="A482" s="4"/>
      <c r="B482" s="5">
        <v>423</v>
      </c>
      <c r="C482" s="6" t="str">
        <f>IFERROR(VLOOKUP(B482,[1]customers!$A:$B,2,0),"")</f>
        <v>Micro Lapping Barile Precision Grinding</v>
      </c>
      <c r="D482" s="5" t="s">
        <v>1605</v>
      </c>
      <c r="E482" s="5" t="s">
        <v>1606</v>
      </c>
      <c r="F482" s="5"/>
      <c r="G482" s="5" t="s">
        <v>1607</v>
      </c>
      <c r="H482" s="5"/>
      <c r="I482" s="5" t="s">
        <v>577</v>
      </c>
      <c r="J482" s="7"/>
    </row>
    <row r="483" spans="1:10" ht="18" customHeight="1" x14ac:dyDescent="0.25">
      <c r="A483" s="8"/>
      <c r="B483" s="9">
        <v>425</v>
      </c>
      <c r="C483" s="6" t="str">
        <f>IFERROR(VLOOKUP(B483,[1]customers!$A:$B,2,0),"")</f>
        <v>Mid American</v>
      </c>
      <c r="D483" s="9" t="s">
        <v>1608</v>
      </c>
      <c r="E483" s="9" t="s">
        <v>1609</v>
      </c>
      <c r="F483" s="9"/>
      <c r="G483" s="9" t="s">
        <v>1610</v>
      </c>
      <c r="H483" s="9"/>
      <c r="I483" s="9" t="s">
        <v>1611</v>
      </c>
      <c r="J483" s="10"/>
    </row>
    <row r="484" spans="1:10" ht="18" customHeight="1" x14ac:dyDescent="0.25">
      <c r="A484" s="4"/>
      <c r="B484" s="5">
        <v>425</v>
      </c>
      <c r="C484" s="6" t="str">
        <f>IFERROR(VLOOKUP(B484,[1]customers!$A:$B,2,0),"")</f>
        <v>Mid American</v>
      </c>
      <c r="D484" s="5" t="s">
        <v>1612</v>
      </c>
      <c r="E484" s="5" t="s">
        <v>1613</v>
      </c>
      <c r="F484" s="5"/>
      <c r="G484" s="5" t="s">
        <v>1614</v>
      </c>
      <c r="H484" s="5" t="s">
        <v>1615</v>
      </c>
      <c r="I484" s="5"/>
      <c r="J484" s="7"/>
    </row>
    <row r="485" spans="1:10" ht="18" customHeight="1" x14ac:dyDescent="0.25">
      <c r="A485" s="8"/>
      <c r="B485" s="9">
        <v>426</v>
      </c>
      <c r="C485" s="6" t="str">
        <f>IFERROR(VLOOKUP(B485,[1]customers!$A:$B,2,0),"")</f>
        <v>Midstate Plastics Corp.</v>
      </c>
      <c r="D485" s="9" t="s">
        <v>1616</v>
      </c>
      <c r="E485" s="9" t="s">
        <v>1617</v>
      </c>
      <c r="F485" s="9"/>
      <c r="G485" s="9" t="s">
        <v>1618</v>
      </c>
      <c r="H485" s="9"/>
      <c r="I485" s="9" t="s">
        <v>1619</v>
      </c>
      <c r="J485" s="10"/>
    </row>
    <row r="486" spans="1:10" ht="18" customHeight="1" x14ac:dyDescent="0.25">
      <c r="A486" s="4"/>
      <c r="B486" s="5">
        <v>427</v>
      </c>
      <c r="C486" s="6" t="str">
        <f>IFERROR(VLOOKUP(B486,[1]customers!$A:$B,2,0),"")</f>
        <v>Midwest Installation Group</v>
      </c>
      <c r="D486" s="5" t="s">
        <v>1620</v>
      </c>
      <c r="E486" s="5" t="s">
        <v>1621</v>
      </c>
      <c r="F486" s="5"/>
      <c r="G486" s="5" t="s">
        <v>1622</v>
      </c>
      <c r="H486" s="5"/>
      <c r="I486" s="5" t="s">
        <v>1623</v>
      </c>
      <c r="J486" s="7"/>
    </row>
    <row r="487" spans="1:10" ht="18" customHeight="1" x14ac:dyDescent="0.25">
      <c r="A487" s="4"/>
      <c r="B487" s="5">
        <v>429</v>
      </c>
      <c r="C487" s="6" t="str">
        <f>IFERROR(VLOOKUP(B487,[1]customers!$A:$B,2,0),"")</f>
        <v>Milestone</v>
      </c>
      <c r="D487" s="5" t="s">
        <v>1624</v>
      </c>
      <c r="E487" s="5" t="s">
        <v>1625</v>
      </c>
      <c r="F487" s="5"/>
      <c r="G487" s="5"/>
      <c r="H487" s="5"/>
      <c r="I487" s="5" t="s">
        <v>1626</v>
      </c>
      <c r="J487" s="7"/>
    </row>
    <row r="488" spans="1:10" ht="18" customHeight="1" x14ac:dyDescent="0.25">
      <c r="A488" s="8"/>
      <c r="B488" s="9">
        <v>433</v>
      </c>
      <c r="C488" s="6" t="str">
        <f>IFERROR(VLOOKUP(B488,[1]customers!$A:$B,2,0),"")</f>
        <v>Mitchell Rubber Co</v>
      </c>
      <c r="D488" s="9" t="s">
        <v>1627</v>
      </c>
      <c r="E488" s="9" t="s">
        <v>1628</v>
      </c>
      <c r="F488" s="9"/>
      <c r="G488" s="9" t="s">
        <v>1629</v>
      </c>
      <c r="H488" s="9" t="s">
        <v>1630</v>
      </c>
      <c r="I488" s="9"/>
      <c r="J488" s="10"/>
    </row>
    <row r="489" spans="1:10" ht="18" customHeight="1" x14ac:dyDescent="0.25">
      <c r="A489" s="4"/>
      <c r="B489" s="5">
        <v>434</v>
      </c>
      <c r="C489" s="6" t="str">
        <f>IFERROR(VLOOKUP(B489,[1]customers!$A:$B,2,0),"")</f>
        <v>Mithril Thrax</v>
      </c>
      <c r="D489" s="5" t="s">
        <v>1631</v>
      </c>
      <c r="E489" s="5" t="s">
        <v>1632</v>
      </c>
      <c r="F489" s="5"/>
      <c r="G489" s="5" t="s">
        <v>1633</v>
      </c>
      <c r="H489" s="5"/>
      <c r="I489" s="5" t="s">
        <v>1634</v>
      </c>
      <c r="J489" s="7"/>
    </row>
    <row r="490" spans="1:10" ht="18" customHeight="1" x14ac:dyDescent="0.25">
      <c r="A490" s="8"/>
      <c r="B490" s="9">
        <v>435</v>
      </c>
      <c r="C490" s="6" t="str">
        <f>IFERROR(VLOOKUP(B490,[1]customers!$A:$B,2,0),"")</f>
        <v>Modern Designs Inc</v>
      </c>
      <c r="D490" s="9" t="s">
        <v>1635</v>
      </c>
      <c r="E490" s="9" t="s">
        <v>1636</v>
      </c>
      <c r="F490" s="9"/>
      <c r="G490" s="9" t="s">
        <v>1637</v>
      </c>
      <c r="H490" s="9" t="s">
        <v>1638</v>
      </c>
      <c r="I490" s="9" t="s">
        <v>1639</v>
      </c>
      <c r="J490" s="10"/>
    </row>
    <row r="491" spans="1:10" ht="18" customHeight="1" x14ac:dyDescent="0.25">
      <c r="A491" s="4"/>
      <c r="B491" s="5">
        <v>436</v>
      </c>
      <c r="C491" s="6" t="str">
        <f>IFERROR(VLOOKUP(B491,[1]customers!$A:$B,2,0),"")</f>
        <v>Mohawk Machinery Inc.</v>
      </c>
      <c r="D491" s="5" t="s">
        <v>1640</v>
      </c>
      <c r="E491" s="5" t="s">
        <v>1641</v>
      </c>
      <c r="F491" s="5"/>
      <c r="G491" s="5" t="s">
        <v>1642</v>
      </c>
      <c r="H491" s="5"/>
      <c r="I491" s="5" t="s">
        <v>1643</v>
      </c>
      <c r="J491" s="7"/>
    </row>
    <row r="492" spans="1:10" ht="18" customHeight="1" x14ac:dyDescent="0.25">
      <c r="A492" s="8"/>
      <c r="B492" s="9">
        <v>437</v>
      </c>
      <c r="C492" s="6" t="str">
        <f>IFERROR(VLOOKUP(B492,[1]customers!$A:$B,2,0),"")</f>
        <v>Molding Dynamics Inc</v>
      </c>
      <c r="D492" s="9" t="s">
        <v>1644</v>
      </c>
      <c r="E492" s="9" t="s">
        <v>1645</v>
      </c>
      <c r="F492" s="9"/>
      <c r="G492" s="9" t="s">
        <v>1646</v>
      </c>
      <c r="H492" s="9"/>
      <c r="I492" s="9" t="s">
        <v>1647</v>
      </c>
      <c r="J492" s="10"/>
    </row>
    <row r="493" spans="1:10" ht="18" customHeight="1" x14ac:dyDescent="0.25">
      <c r="A493" s="4"/>
      <c r="B493" s="5">
        <v>439</v>
      </c>
      <c r="C493" s="6" t="str">
        <f>IFERROR(VLOOKUP(B493,[1]customers!$A:$B,2,0),"")</f>
        <v>Monarch Machinery Inc</v>
      </c>
      <c r="D493" s="5" t="s">
        <v>1648</v>
      </c>
      <c r="E493" s="5" t="s">
        <v>1649</v>
      </c>
      <c r="F493" s="5"/>
      <c r="G493" s="5" t="s">
        <v>1650</v>
      </c>
      <c r="H493" s="5" t="s">
        <v>1651</v>
      </c>
      <c r="I493" s="5" t="s">
        <v>1652</v>
      </c>
      <c r="J493" s="7"/>
    </row>
    <row r="494" spans="1:10" ht="18" customHeight="1" x14ac:dyDescent="0.25">
      <c r="A494" s="8"/>
      <c r="B494" s="9">
        <v>441</v>
      </c>
      <c r="C494" s="6" t="str">
        <f>IFERROR(VLOOKUP(B494,[1]customers!$A:$B,2,0),"")</f>
        <v>Mosaic Color and Additives</v>
      </c>
      <c r="D494" s="9" t="s">
        <v>1653</v>
      </c>
      <c r="E494" s="9" t="s">
        <v>1654</v>
      </c>
      <c r="F494" s="9"/>
      <c r="G494" s="9" t="s">
        <v>1655</v>
      </c>
      <c r="H494" s="9"/>
      <c r="I494" s="9">
        <v>8644142680</v>
      </c>
      <c r="J494" s="10"/>
    </row>
    <row r="495" spans="1:10" ht="18" customHeight="1" x14ac:dyDescent="0.25">
      <c r="A495" s="4"/>
      <c r="B495" s="5">
        <v>442</v>
      </c>
      <c r="C495" s="6" t="str">
        <f>IFERROR(VLOOKUP(B495,[1]customers!$A:$B,2,0),"")</f>
        <v>Motch &amp; Eichele</v>
      </c>
      <c r="D495" s="5" t="s">
        <v>1656</v>
      </c>
      <c r="E495" s="5" t="s">
        <v>1657</v>
      </c>
      <c r="F495" s="5"/>
      <c r="G495" s="5"/>
      <c r="H495" s="5"/>
      <c r="I495" s="5">
        <v>3305648820</v>
      </c>
      <c r="J495" s="7"/>
    </row>
    <row r="496" spans="1:10" ht="18" customHeight="1" x14ac:dyDescent="0.25">
      <c r="A496" s="4"/>
      <c r="B496" s="5">
        <v>444</v>
      </c>
      <c r="C496" s="6" t="str">
        <f>IFERROR(VLOOKUP(B496,[1]customers!$A:$B,2,0),"")</f>
        <v>MST Inc</v>
      </c>
      <c r="D496" s="5" t="s">
        <v>1658</v>
      </c>
      <c r="E496" s="5" t="s">
        <v>1659</v>
      </c>
      <c r="F496" s="5"/>
      <c r="G496" s="5" t="s">
        <v>1660</v>
      </c>
      <c r="H496" s="5"/>
      <c r="I496" s="5">
        <v>3303525082</v>
      </c>
      <c r="J496" s="7"/>
    </row>
    <row r="497" spans="1:10" ht="18" customHeight="1" x14ac:dyDescent="0.25">
      <c r="A497" s="4"/>
      <c r="B497" s="5">
        <v>446</v>
      </c>
      <c r="C497" s="6" t="str">
        <f>IFERROR(VLOOKUP(B497,[1]customers!$A:$B,2,0),"")</f>
        <v>MVP Plastics Inc.</v>
      </c>
      <c r="D497" s="5" t="s">
        <v>1661</v>
      </c>
      <c r="E497" s="5" t="s">
        <v>1662</v>
      </c>
      <c r="F497" s="5"/>
      <c r="G497" s="5" t="s">
        <v>1663</v>
      </c>
      <c r="H497" s="5" t="s">
        <v>1664</v>
      </c>
      <c r="I497" s="5" t="s">
        <v>1665</v>
      </c>
      <c r="J497" s="7"/>
    </row>
    <row r="498" spans="1:10" ht="18" customHeight="1" x14ac:dyDescent="0.25">
      <c r="A498" s="8"/>
      <c r="B498" s="9">
        <v>446</v>
      </c>
      <c r="C498" s="6" t="str">
        <f>IFERROR(VLOOKUP(B498,[1]customers!$A:$B,2,0),"")</f>
        <v>MVP Plastics Inc.</v>
      </c>
      <c r="D498" s="9" t="s">
        <v>1661</v>
      </c>
      <c r="E498" s="9" t="s">
        <v>1666</v>
      </c>
      <c r="F498" s="9"/>
      <c r="G498" s="9"/>
      <c r="H498" s="9" t="s">
        <v>1667</v>
      </c>
      <c r="I498" s="9" t="s">
        <v>1665</v>
      </c>
      <c r="J498" s="10"/>
    </row>
    <row r="499" spans="1:10" ht="18" customHeight="1" x14ac:dyDescent="0.25">
      <c r="A499" s="4"/>
      <c r="B499" s="5">
        <v>447</v>
      </c>
      <c r="C499" s="6" t="str">
        <f>IFERROR(VLOOKUP(B499,[1]customers!$A:$B,2,0),"")</f>
        <v>MW Components</v>
      </c>
      <c r="D499" s="5" t="s">
        <v>1668</v>
      </c>
      <c r="E499" s="5" t="s">
        <v>1669</v>
      </c>
      <c r="F499" s="5"/>
      <c r="G499" s="5" t="s">
        <v>1670</v>
      </c>
      <c r="H499" s="5"/>
      <c r="I499" s="5">
        <v>440325459</v>
      </c>
      <c r="J499" s="7"/>
    </row>
    <row r="500" spans="1:10" ht="18" customHeight="1" x14ac:dyDescent="0.25">
      <c r="A500" s="4"/>
      <c r="B500" s="5">
        <v>448</v>
      </c>
      <c r="C500" s="6" t="str">
        <f>IFERROR(VLOOKUP(B500,[1]customers!$A:$B,2,0),"")</f>
        <v>Nabholz Construction Corporation</v>
      </c>
      <c r="D500" s="5" t="s">
        <v>1671</v>
      </c>
      <c r="E500" s="5" t="s">
        <v>1672</v>
      </c>
      <c r="F500" s="5"/>
      <c r="G500" s="5" t="s">
        <v>1673</v>
      </c>
      <c r="H500" s="5" t="s">
        <v>1674</v>
      </c>
      <c r="I500" s="5"/>
      <c r="J500" s="7"/>
    </row>
    <row r="501" spans="1:10" ht="18" customHeight="1" x14ac:dyDescent="0.25">
      <c r="A501" s="8"/>
      <c r="B501" s="9">
        <v>450</v>
      </c>
      <c r="C501" s="6" t="str">
        <f>IFERROR(VLOOKUP(B501,[1]customers!$A:$B,2,0),"")</f>
        <v>National Management Systems</v>
      </c>
      <c r="D501" s="9" t="s">
        <v>1675</v>
      </c>
      <c r="E501" s="9" t="s">
        <v>1676</v>
      </c>
      <c r="F501" s="9"/>
      <c r="G501" s="9" t="s">
        <v>1677</v>
      </c>
      <c r="H501" s="9" t="s">
        <v>1678</v>
      </c>
      <c r="I501" s="9"/>
      <c r="J501" s="10"/>
    </row>
    <row r="502" spans="1:10" ht="18" customHeight="1" x14ac:dyDescent="0.25">
      <c r="A502" s="4"/>
      <c r="B502" s="5">
        <v>451</v>
      </c>
      <c r="C502" s="6" t="str">
        <f>IFERROR(VLOOKUP(B502,[1]customers!$A:$B,2,0),"")</f>
        <v>National Print Services</v>
      </c>
      <c r="D502" s="5" t="s">
        <v>1679</v>
      </c>
      <c r="E502" s="5" t="s">
        <v>1680</v>
      </c>
      <c r="F502" s="5"/>
      <c r="G502" s="5" t="s">
        <v>1681</v>
      </c>
      <c r="H502" s="5"/>
      <c r="I502" s="5" t="s">
        <v>1682</v>
      </c>
      <c r="J502" s="7"/>
    </row>
    <row r="503" spans="1:10" ht="18" customHeight="1" x14ac:dyDescent="0.25">
      <c r="A503" s="8"/>
      <c r="B503" s="9">
        <v>452</v>
      </c>
      <c r="C503" s="6" t="str">
        <f>IFERROR(VLOOKUP(B503,[1]customers!$A:$B,2,0),"")</f>
        <v>Navitas Systems</v>
      </c>
      <c r="D503" s="9" t="s">
        <v>1683</v>
      </c>
      <c r="E503" s="9" t="s">
        <v>1684</v>
      </c>
      <c r="F503" s="9"/>
      <c r="G503" s="9" t="s">
        <v>1685</v>
      </c>
      <c r="H503" s="9"/>
      <c r="I503" s="9" t="s">
        <v>1686</v>
      </c>
      <c r="J503" s="10"/>
    </row>
    <row r="504" spans="1:10" ht="18" customHeight="1" x14ac:dyDescent="0.25">
      <c r="A504" s="4"/>
      <c r="B504" s="5">
        <v>454</v>
      </c>
      <c r="C504" s="6" t="str">
        <f>IFERROR(VLOOKUP(B504,[1]customers!$A:$B,2,0),"")</f>
        <v>NCT Technologies</v>
      </c>
      <c r="D504" s="5" t="s">
        <v>1687</v>
      </c>
      <c r="E504" s="5" t="s">
        <v>1688</v>
      </c>
      <c r="F504" s="5"/>
      <c r="G504" s="5" t="s">
        <v>1689</v>
      </c>
      <c r="H504" s="5"/>
      <c r="I504" s="5">
        <v>9372071237</v>
      </c>
      <c r="J504" s="7"/>
    </row>
    <row r="505" spans="1:10" ht="18" customHeight="1" x14ac:dyDescent="0.25">
      <c r="A505" s="8"/>
      <c r="B505" s="9">
        <v>454</v>
      </c>
      <c r="C505" s="6" t="str">
        <f>IFERROR(VLOOKUP(B505,[1]customers!$A:$B,2,0),"")</f>
        <v>NCT Technologies</v>
      </c>
      <c r="D505" s="9" t="s">
        <v>1687</v>
      </c>
      <c r="E505" s="9" t="s">
        <v>1690</v>
      </c>
      <c r="F505" s="9"/>
      <c r="G505" s="9" t="s">
        <v>1689</v>
      </c>
      <c r="H505" s="9"/>
      <c r="I505" s="9" t="s">
        <v>1691</v>
      </c>
      <c r="J505" s="10"/>
    </row>
    <row r="506" spans="1:10" ht="18" customHeight="1" x14ac:dyDescent="0.25">
      <c r="A506" s="8"/>
      <c r="B506" s="9">
        <v>455</v>
      </c>
      <c r="C506" s="6" t="str">
        <f>IFERROR(VLOOKUP(B506,[1]customers!$A:$B,2,0),"")</f>
        <v>Netstal</v>
      </c>
      <c r="D506" s="9" t="s">
        <v>1692</v>
      </c>
      <c r="E506" s="9" t="s">
        <v>401</v>
      </c>
      <c r="F506" s="9"/>
      <c r="G506" s="9" t="s">
        <v>1693</v>
      </c>
      <c r="H506" s="9"/>
      <c r="I506" s="9" t="s">
        <v>1694</v>
      </c>
      <c r="J506" s="10"/>
    </row>
    <row r="507" spans="1:10" ht="18" customHeight="1" x14ac:dyDescent="0.25">
      <c r="A507" s="4"/>
      <c r="B507" s="5">
        <v>454</v>
      </c>
      <c r="C507" s="6" t="str">
        <f>IFERROR(VLOOKUP(B507,[1]customers!$A:$B,2,0),"")</f>
        <v>NCT Technologies</v>
      </c>
      <c r="D507" s="5" t="s">
        <v>1695</v>
      </c>
      <c r="E507" s="5" t="s">
        <v>1696</v>
      </c>
      <c r="F507" s="5"/>
      <c r="G507" s="5"/>
      <c r="H507" s="5"/>
      <c r="I507" s="5" t="s">
        <v>1697</v>
      </c>
      <c r="J507" s="7"/>
    </row>
    <row r="508" spans="1:10" ht="18" customHeight="1" x14ac:dyDescent="0.25">
      <c r="A508" s="8"/>
      <c r="B508" s="9">
        <v>457</v>
      </c>
      <c r="C508" s="6" t="str">
        <f>IFERROR(VLOOKUP(B508,[1]customers!$A:$B,2,0),"")</f>
        <v>New Era Converting Machinery, Inc</v>
      </c>
      <c r="D508" s="9" t="s">
        <v>1698</v>
      </c>
      <c r="E508" s="9" t="s">
        <v>1699</v>
      </c>
      <c r="F508" s="9"/>
      <c r="G508" s="9" t="s">
        <v>1700</v>
      </c>
      <c r="H508" s="9"/>
      <c r="I508" s="9" t="s">
        <v>1701</v>
      </c>
      <c r="J508" s="10"/>
    </row>
    <row r="509" spans="1:10" ht="18" customHeight="1" x14ac:dyDescent="0.25">
      <c r="A509" s="4"/>
      <c r="B509" s="5">
        <v>458</v>
      </c>
      <c r="C509" s="6" t="str">
        <f>IFERROR(VLOOKUP(B509,[1]customers!$A:$B,2,0),"")</f>
        <v>New York Bakery of Syracuse, Inc</v>
      </c>
      <c r="D509" s="5" t="s">
        <v>1702</v>
      </c>
      <c r="E509" s="5" t="s">
        <v>1703</v>
      </c>
      <c r="F509" s="5"/>
      <c r="G509" s="5" t="s">
        <v>1704</v>
      </c>
      <c r="H509" s="5"/>
      <c r="I509" s="5" t="s">
        <v>1705</v>
      </c>
      <c r="J509" s="7"/>
    </row>
    <row r="510" spans="1:10" ht="18" customHeight="1" x14ac:dyDescent="0.25">
      <c r="A510" s="8"/>
      <c r="B510" s="9">
        <v>459</v>
      </c>
      <c r="C510" s="6" t="str">
        <f>IFERROR(VLOOKUP(B510,[1]customers!$A:$B,2,0),"")</f>
        <v>Newberger Machine</v>
      </c>
      <c r="D510" s="9" t="s">
        <v>1706</v>
      </c>
      <c r="E510" s="9" t="s">
        <v>1707</v>
      </c>
      <c r="F510" s="9"/>
      <c r="G510" s="9" t="s">
        <v>1708</v>
      </c>
      <c r="H510" s="9" t="s">
        <v>1709</v>
      </c>
      <c r="I510" s="9" t="s">
        <v>1710</v>
      </c>
      <c r="J510" s="10"/>
    </row>
    <row r="511" spans="1:10" ht="18" customHeight="1" x14ac:dyDescent="0.25">
      <c r="A511" s="4"/>
      <c r="B511" s="5">
        <v>461</v>
      </c>
      <c r="C511" s="6" t="str">
        <f>IFERROR(VLOOKUP(B511,[1]customers!$A:$B,2,0),"")</f>
        <v>NH Acquisitions Corp</v>
      </c>
      <c r="D511" s="5" t="s">
        <v>1711</v>
      </c>
      <c r="E511" s="5" t="s">
        <v>1712</v>
      </c>
      <c r="F511" s="5"/>
      <c r="G511" s="5" t="s">
        <v>1713</v>
      </c>
      <c r="H511" s="5" t="s">
        <v>1714</v>
      </c>
      <c r="I511" s="5" t="s">
        <v>1715</v>
      </c>
      <c r="J511" s="7"/>
    </row>
    <row r="512" spans="1:10" ht="18" customHeight="1" x14ac:dyDescent="0.25">
      <c r="A512" s="8"/>
      <c r="B512" s="9">
        <v>461</v>
      </c>
      <c r="C512" s="6" t="str">
        <f>IFERROR(VLOOKUP(B512,[1]customers!$A:$B,2,0),"")</f>
        <v>NH Acquisitions Corp</v>
      </c>
      <c r="D512" s="9" t="s">
        <v>1711</v>
      </c>
      <c r="E512" s="9" t="s">
        <v>1716</v>
      </c>
      <c r="F512" s="9"/>
      <c r="G512" s="9" t="s">
        <v>1717</v>
      </c>
      <c r="H512" s="9" t="s">
        <v>1718</v>
      </c>
      <c r="I512" s="9"/>
      <c r="J512" s="10"/>
    </row>
    <row r="513" spans="1:10" ht="18" customHeight="1" x14ac:dyDescent="0.25">
      <c r="A513" s="8"/>
      <c r="B513" s="9">
        <v>464</v>
      </c>
      <c r="C513" s="6" t="str">
        <f>IFERROR(VLOOKUP(B513,[1]customers!$A:$B,2,0),"")</f>
        <v>Noramco</v>
      </c>
      <c r="D513" s="9" t="s">
        <v>1719</v>
      </c>
      <c r="E513" s="9" t="s">
        <v>1720</v>
      </c>
      <c r="F513" s="9"/>
      <c r="G513" s="9" t="s">
        <v>1721</v>
      </c>
      <c r="H513" s="9"/>
      <c r="I513" s="9" t="s">
        <v>1722</v>
      </c>
      <c r="J513" s="10"/>
    </row>
    <row r="514" spans="1:10" ht="18" customHeight="1" x14ac:dyDescent="0.25">
      <c r="A514" s="4"/>
      <c r="B514" s="5">
        <v>464</v>
      </c>
      <c r="C514" s="6" t="str">
        <f>IFERROR(VLOOKUP(B514,[1]customers!$A:$B,2,0),"")</f>
        <v>Noramco</v>
      </c>
      <c r="D514" s="5" t="s">
        <v>1723</v>
      </c>
      <c r="E514" s="5" t="s">
        <v>1724</v>
      </c>
      <c r="F514" s="5"/>
      <c r="G514" s="5" t="s">
        <v>1725</v>
      </c>
      <c r="H514" s="5" t="s">
        <v>1726</v>
      </c>
      <c r="I514" s="5" t="s">
        <v>1727</v>
      </c>
      <c r="J514" s="7"/>
    </row>
    <row r="515" spans="1:10" ht="18" customHeight="1" x14ac:dyDescent="0.25">
      <c r="A515" s="8"/>
      <c r="B515" s="9">
        <v>465</v>
      </c>
      <c r="C515" s="6" t="str">
        <f>IFERROR(VLOOKUP(B515,[1]customers!$A:$B,2,0),"")</f>
        <v>Normandy Products(Oldcastle)</v>
      </c>
      <c r="D515" s="9" t="s">
        <v>1728</v>
      </c>
      <c r="E515" s="9" t="s">
        <v>1729</v>
      </c>
      <c r="F515" s="9"/>
      <c r="G515" s="9" t="s">
        <v>1730</v>
      </c>
      <c r="H515" s="9"/>
      <c r="I515" s="9" t="s">
        <v>1731</v>
      </c>
      <c r="J515" s="10"/>
    </row>
    <row r="516" spans="1:10" ht="18" customHeight="1" x14ac:dyDescent="0.25">
      <c r="A516" s="4"/>
      <c r="B516" s="5">
        <v>465</v>
      </c>
      <c r="C516" s="6" t="str">
        <f>IFERROR(VLOOKUP(B516,[1]customers!$A:$B,2,0),"")</f>
        <v>Normandy Products(Oldcastle)</v>
      </c>
      <c r="D516" s="5" t="s">
        <v>1728</v>
      </c>
      <c r="E516" s="5" t="s">
        <v>1729</v>
      </c>
      <c r="F516" s="5"/>
      <c r="G516" s="5" t="s">
        <v>1732</v>
      </c>
      <c r="H516" s="5" t="s">
        <v>1731</v>
      </c>
      <c r="I516" s="5" t="s">
        <v>1733</v>
      </c>
      <c r="J516" s="7"/>
    </row>
    <row r="517" spans="1:10" ht="18" customHeight="1" x14ac:dyDescent="0.25">
      <c r="A517" s="8"/>
      <c r="B517" s="9">
        <v>277</v>
      </c>
      <c r="C517" s="6" t="str">
        <f>IFERROR(VLOOKUP(B517,[1]customers!$A:$B,2,0),"")</f>
        <v>GCS Industrial Services, LTD</v>
      </c>
      <c r="D517" s="9" t="s">
        <v>1734</v>
      </c>
      <c r="E517" s="9" t="s">
        <v>1735</v>
      </c>
      <c r="F517" s="9"/>
      <c r="G517" s="9" t="s">
        <v>1736</v>
      </c>
      <c r="H517" s="9"/>
      <c r="I517" s="9" t="s">
        <v>1737</v>
      </c>
      <c r="J517" s="10"/>
    </row>
    <row r="518" spans="1:10" ht="18" customHeight="1" x14ac:dyDescent="0.25">
      <c r="A518" s="4"/>
      <c r="B518" s="5">
        <v>466</v>
      </c>
      <c r="C518" s="6" t="str">
        <f>IFERROR(VLOOKUP(B518,[1]customers!$A:$B,2,0),"")</f>
        <v>North High Brewing Co</v>
      </c>
      <c r="D518" s="5" t="s">
        <v>1738</v>
      </c>
      <c r="E518" s="5" t="s">
        <v>1739</v>
      </c>
      <c r="F518" s="5"/>
      <c r="G518" s="5" t="s">
        <v>1740</v>
      </c>
      <c r="H518" s="5" t="s">
        <v>1741</v>
      </c>
      <c r="I518" s="5"/>
      <c r="J518" s="7"/>
    </row>
    <row r="519" spans="1:10" ht="18" customHeight="1" x14ac:dyDescent="0.25">
      <c r="A519" s="8"/>
      <c r="B519" s="9">
        <v>468</v>
      </c>
      <c r="C519" s="6" t="str">
        <f>IFERROR(VLOOKUP(B519,[1]customers!$A:$B,2,0),"")</f>
        <v>Northwest Inventory Solutions</v>
      </c>
      <c r="D519" s="9" t="s">
        <v>1742</v>
      </c>
      <c r="E519" s="9" t="s">
        <v>1743</v>
      </c>
      <c r="F519" s="9"/>
      <c r="G519" s="9"/>
      <c r="H519" s="9" t="s">
        <v>1744</v>
      </c>
      <c r="I519" s="9"/>
      <c r="J519" s="10"/>
    </row>
    <row r="520" spans="1:10" ht="18" customHeight="1" x14ac:dyDescent="0.25">
      <c r="A520" s="4"/>
      <c r="B520" s="5">
        <v>467</v>
      </c>
      <c r="C520" s="6" t="str">
        <f>IFERROR(VLOOKUP(B520,[1]customers!$A:$B,2,0),"")</f>
        <v>Northcoast Shredding</v>
      </c>
      <c r="D520" s="5" t="s">
        <v>1745</v>
      </c>
      <c r="E520" s="5" t="s">
        <v>1746</v>
      </c>
      <c r="F520" s="5"/>
      <c r="G520" s="5" t="s">
        <v>1747</v>
      </c>
      <c r="H520" s="5"/>
      <c r="I520" s="5">
        <v>4409436968</v>
      </c>
      <c r="J520" s="7"/>
    </row>
    <row r="521" spans="1:10" ht="18" customHeight="1" x14ac:dyDescent="0.25">
      <c r="A521" s="8"/>
      <c r="B521" s="9">
        <v>469</v>
      </c>
      <c r="C521" s="6" t="str">
        <f>IFERROR(VLOOKUP(B521,[1]customers!$A:$B,2,0),"")</f>
        <v>Nursery Supplies Co</v>
      </c>
      <c r="D521" s="9" t="s">
        <v>1748</v>
      </c>
      <c r="E521" s="9" t="s">
        <v>1749</v>
      </c>
      <c r="F521" s="9"/>
      <c r="G521" s="9" t="s">
        <v>1750</v>
      </c>
      <c r="H521" s="9"/>
      <c r="I521" s="9" t="s">
        <v>1751</v>
      </c>
      <c r="J521" s="10"/>
    </row>
    <row r="522" spans="1:10" ht="18" customHeight="1" x14ac:dyDescent="0.25">
      <c r="A522" s="8"/>
      <c r="B522" s="9">
        <v>471</v>
      </c>
      <c r="C522" s="6" t="str">
        <f>IFERROR(VLOOKUP(B522,[1]customers!$A:$B,2,0),"")</f>
        <v>Oasis Windows</v>
      </c>
      <c r="D522" s="9" t="s">
        <v>1752</v>
      </c>
      <c r="E522" s="9" t="s">
        <v>1753</v>
      </c>
      <c r="F522" s="9"/>
      <c r="G522" s="9" t="s">
        <v>1754</v>
      </c>
      <c r="H522" s="9"/>
      <c r="I522" s="9" t="s">
        <v>1755</v>
      </c>
      <c r="J522" s="10"/>
    </row>
    <row r="523" spans="1:10" ht="18" customHeight="1" x14ac:dyDescent="0.25">
      <c r="A523" s="8"/>
      <c r="B523" s="9">
        <v>472</v>
      </c>
      <c r="C523" s="6" t="str">
        <f>IFERROR(VLOOKUP(B523,[1]customers!$A:$B,2,0),"")</f>
        <v>OEM Miller</v>
      </c>
      <c r="D523" s="9" t="s">
        <v>1756</v>
      </c>
      <c r="E523" s="9" t="s">
        <v>1757</v>
      </c>
      <c r="F523" s="9"/>
      <c r="G523" s="9" t="s">
        <v>1758</v>
      </c>
      <c r="H523" s="9" t="s">
        <v>1759</v>
      </c>
      <c r="I523" s="9" t="s">
        <v>1760</v>
      </c>
      <c r="J523" s="10"/>
    </row>
    <row r="524" spans="1:10" ht="18" customHeight="1" x14ac:dyDescent="0.25">
      <c r="A524" s="4"/>
      <c r="B524" s="5">
        <v>472</v>
      </c>
      <c r="C524" s="6" t="str">
        <f>IFERROR(VLOOKUP(B524,[1]customers!$A:$B,2,0),"")</f>
        <v>OEM Miller</v>
      </c>
      <c r="D524" s="5" t="s">
        <v>1756</v>
      </c>
      <c r="E524" s="5" t="s">
        <v>1761</v>
      </c>
      <c r="F524" s="5"/>
      <c r="G524" s="5" t="s">
        <v>1762</v>
      </c>
      <c r="H524" s="5" t="s">
        <v>1763</v>
      </c>
      <c r="I524" s="5" t="s">
        <v>1764</v>
      </c>
      <c r="J524" s="7"/>
    </row>
    <row r="525" spans="1:10" ht="18" customHeight="1" x14ac:dyDescent="0.25">
      <c r="A525" s="8"/>
      <c r="B525" s="9">
        <v>472</v>
      </c>
      <c r="C525" s="6" t="str">
        <f>IFERROR(VLOOKUP(B525,[1]customers!$A:$B,2,0),"")</f>
        <v>OEM Miller</v>
      </c>
      <c r="D525" s="9" t="s">
        <v>1756</v>
      </c>
      <c r="E525" s="9" t="s">
        <v>1761</v>
      </c>
      <c r="F525" s="9"/>
      <c r="G525" s="9" t="s">
        <v>1765</v>
      </c>
      <c r="H525" s="9"/>
      <c r="I525" s="9" t="s">
        <v>1766</v>
      </c>
      <c r="J525" s="10"/>
    </row>
    <row r="526" spans="1:10" ht="18" customHeight="1" x14ac:dyDescent="0.25">
      <c r="A526" s="4"/>
      <c r="B526" s="5">
        <v>472</v>
      </c>
      <c r="C526" s="6" t="str">
        <f>IFERROR(VLOOKUP(B526,[1]customers!$A:$B,2,0),"")</f>
        <v>OEM Miller</v>
      </c>
      <c r="D526" s="5" t="s">
        <v>1756</v>
      </c>
      <c r="E526" s="5" t="s">
        <v>1767</v>
      </c>
      <c r="F526" s="5"/>
      <c r="G526" s="5" t="s">
        <v>1768</v>
      </c>
      <c r="H526" s="5" t="s">
        <v>1769</v>
      </c>
      <c r="I526" s="5" t="s">
        <v>1770</v>
      </c>
      <c r="J526" s="7"/>
    </row>
    <row r="527" spans="1:10" ht="18" customHeight="1" x14ac:dyDescent="0.25">
      <c r="A527" s="8"/>
      <c r="B527" s="9">
        <v>474</v>
      </c>
      <c r="C527" s="6" t="str">
        <f>IFERROR(VLOOKUP(B527,[1]customers!$A:$B,2,0),"")</f>
        <v>Ohio Cabinets</v>
      </c>
      <c r="D527" s="9" t="s">
        <v>1771</v>
      </c>
      <c r="E527" s="9" t="s">
        <v>1772</v>
      </c>
      <c r="F527" s="9"/>
      <c r="G527" s="9" t="s">
        <v>1773</v>
      </c>
      <c r="H527" s="9" t="s">
        <v>1774</v>
      </c>
      <c r="I527" s="9"/>
      <c r="J527" s="10"/>
    </row>
    <row r="528" spans="1:10" ht="18" customHeight="1" x14ac:dyDescent="0.25">
      <c r="A528" s="4"/>
      <c r="B528" s="5">
        <v>475</v>
      </c>
      <c r="C528" s="6" t="str">
        <f>IFERROR(VLOOKUP(B528,[1]customers!$A:$B,2,0),"")</f>
        <v>Ohio Carbon</v>
      </c>
      <c r="D528" s="5" t="s">
        <v>1775</v>
      </c>
      <c r="E528" s="5" t="s">
        <v>1776</v>
      </c>
      <c r="F528" s="5"/>
      <c r="G528" s="5" t="s">
        <v>1777</v>
      </c>
      <c r="H528" s="5" t="s">
        <v>1778</v>
      </c>
      <c r="I528" s="5" t="s">
        <v>1779</v>
      </c>
      <c r="J528" s="7"/>
    </row>
    <row r="529" spans="1:10" ht="18" customHeight="1" x14ac:dyDescent="0.25">
      <c r="A529" s="8"/>
      <c r="B529" s="9">
        <v>476</v>
      </c>
      <c r="C529" s="6" t="str">
        <f>IFERROR(VLOOKUP(B529,[1]customers!$A:$B,2,0),"")</f>
        <v>Ohio Custom Dies</v>
      </c>
      <c r="D529" s="9" t="s">
        <v>1780</v>
      </c>
      <c r="E529" s="9" t="s">
        <v>1781</v>
      </c>
      <c r="F529" s="9"/>
      <c r="G529" s="9" t="s">
        <v>1782</v>
      </c>
      <c r="H529" s="9">
        <v>3305383396</v>
      </c>
      <c r="I529" s="9"/>
      <c r="J529" s="10"/>
    </row>
    <row r="530" spans="1:10" ht="18" customHeight="1" x14ac:dyDescent="0.25">
      <c r="A530" s="4"/>
      <c r="B530" s="5">
        <v>478</v>
      </c>
      <c r="C530" s="6" t="str">
        <f>IFERROR(VLOOKUP(B530,[1]customers!$A:$B,2,0),"")</f>
        <v>Ohio Metal Roofing</v>
      </c>
      <c r="D530" s="5" t="s">
        <v>1783</v>
      </c>
      <c r="E530" s="5" t="s">
        <v>1784</v>
      </c>
      <c r="F530" s="5"/>
      <c r="G530" s="5" t="s">
        <v>1785</v>
      </c>
      <c r="H530" s="5"/>
      <c r="I530" s="5">
        <v>7402335225</v>
      </c>
      <c r="J530" s="7"/>
    </row>
    <row r="531" spans="1:10" ht="18" customHeight="1" x14ac:dyDescent="0.25">
      <c r="A531" s="8"/>
      <c r="B531" s="9">
        <v>479</v>
      </c>
      <c r="C531" s="6" t="str">
        <f>IFERROR(VLOOKUP(B531,[1]customers!$A:$B,2,0),"")</f>
        <v>Ohio Storage Services</v>
      </c>
      <c r="D531" s="9" t="s">
        <v>1786</v>
      </c>
      <c r="E531" s="9" t="s">
        <v>1787</v>
      </c>
      <c r="F531" s="9"/>
      <c r="G531" s="9"/>
      <c r="H531" s="9"/>
      <c r="I531" s="9" t="s">
        <v>1788</v>
      </c>
      <c r="J531" s="10"/>
    </row>
    <row r="532" spans="1:10" ht="18" customHeight="1" x14ac:dyDescent="0.25">
      <c r="A532" s="4"/>
      <c r="B532" s="5">
        <v>480</v>
      </c>
      <c r="C532" s="6" t="str">
        <f>IFERROR(VLOOKUP(B532,[1]customers!$A:$B,2,0),"")</f>
        <v>Okaya (U.S.A), Inc</v>
      </c>
      <c r="D532" s="5" t="s">
        <v>1789</v>
      </c>
      <c r="E532" s="5" t="s">
        <v>1790</v>
      </c>
      <c r="F532" s="5"/>
      <c r="G532" s="5" t="s">
        <v>1791</v>
      </c>
      <c r="H532" s="5" t="s">
        <v>1792</v>
      </c>
      <c r="I532" s="5"/>
      <c r="J532" s="7"/>
    </row>
    <row r="533" spans="1:10" ht="18" customHeight="1" x14ac:dyDescent="0.25">
      <c r="A533" s="8"/>
      <c r="B533" s="9">
        <v>481</v>
      </c>
      <c r="C533" s="6" t="str">
        <f>IFERROR(VLOOKUP(B533,[1]customers!$A:$B,2,0),"")</f>
        <v>Omnia-Dash</v>
      </c>
      <c r="D533" s="9" t="s">
        <v>1793</v>
      </c>
      <c r="E533" s="9" t="s">
        <v>1794</v>
      </c>
      <c r="F533" s="9"/>
      <c r="G533" s="9" t="s">
        <v>1795</v>
      </c>
      <c r="H533" s="9"/>
      <c r="I533" s="9" t="s">
        <v>1796</v>
      </c>
      <c r="J533" s="10"/>
    </row>
    <row r="534" spans="1:10" ht="18" customHeight="1" x14ac:dyDescent="0.25">
      <c r="A534" s="4"/>
      <c r="B534" s="5">
        <v>482</v>
      </c>
      <c r="C534" s="6" t="str">
        <f>IFERROR(VLOOKUP(B534,[1]customers!$A:$B,2,0),"")</f>
        <v>Orbis Corporation</v>
      </c>
      <c r="D534" s="5" t="s">
        <v>1797</v>
      </c>
      <c r="E534" s="5" t="s">
        <v>1798</v>
      </c>
      <c r="F534" s="5"/>
      <c r="G534" s="5" t="s">
        <v>1799</v>
      </c>
      <c r="H534" s="5"/>
      <c r="I534" s="5" t="s">
        <v>1800</v>
      </c>
      <c r="J534" s="7"/>
    </row>
    <row r="535" spans="1:10" ht="18" customHeight="1" x14ac:dyDescent="0.25">
      <c r="A535" s="8"/>
      <c r="B535" s="9">
        <v>482</v>
      </c>
      <c r="C535" s="6" t="str">
        <f>IFERROR(VLOOKUP(B535,[1]customers!$A:$B,2,0),"")</f>
        <v>Orbis Corporation</v>
      </c>
      <c r="D535" s="9" t="s">
        <v>1797</v>
      </c>
      <c r="E535" s="9" t="s">
        <v>1801</v>
      </c>
      <c r="F535" s="9"/>
      <c r="G535" s="9" t="s">
        <v>1802</v>
      </c>
      <c r="H535" s="9"/>
      <c r="I535" s="9" t="s">
        <v>1803</v>
      </c>
      <c r="J535" s="10"/>
    </row>
    <row r="536" spans="1:10" ht="18" customHeight="1" x14ac:dyDescent="0.25">
      <c r="A536" s="4"/>
      <c r="B536" s="5">
        <v>482</v>
      </c>
      <c r="C536" s="6" t="str">
        <f>IFERROR(VLOOKUP(B536,[1]customers!$A:$B,2,0),"")</f>
        <v>Orbis Corporation</v>
      </c>
      <c r="D536" s="5" t="s">
        <v>1797</v>
      </c>
      <c r="E536" s="5" t="s">
        <v>1804</v>
      </c>
      <c r="F536" s="5"/>
      <c r="G536" s="5" t="s">
        <v>1805</v>
      </c>
      <c r="H536" s="5"/>
      <c r="I536" s="5" t="s">
        <v>1806</v>
      </c>
      <c r="J536" s="7"/>
    </row>
    <row r="537" spans="1:10" ht="18" customHeight="1" x14ac:dyDescent="0.25">
      <c r="A537" s="8"/>
      <c r="B537" s="9">
        <v>482</v>
      </c>
      <c r="C537" s="6" t="str">
        <f>IFERROR(VLOOKUP(B537,[1]customers!$A:$B,2,0),"")</f>
        <v>Orbis Corporation</v>
      </c>
      <c r="D537" s="9" t="s">
        <v>1797</v>
      </c>
      <c r="E537" s="9" t="s">
        <v>1807</v>
      </c>
      <c r="F537" s="9"/>
      <c r="G537" s="9" t="s">
        <v>1808</v>
      </c>
      <c r="H537" s="9" t="s">
        <v>1809</v>
      </c>
      <c r="I537" s="9" t="s">
        <v>1810</v>
      </c>
      <c r="J537" s="10"/>
    </row>
    <row r="538" spans="1:10" ht="18" customHeight="1" x14ac:dyDescent="0.25">
      <c r="A538" s="4"/>
      <c r="B538" s="5">
        <v>482</v>
      </c>
      <c r="C538" s="6" t="str">
        <f>IFERROR(VLOOKUP(B538,[1]customers!$A:$B,2,0),"")</f>
        <v>Orbis Corporation</v>
      </c>
      <c r="D538" s="5" t="s">
        <v>1797</v>
      </c>
      <c r="E538" s="5" t="s">
        <v>1811</v>
      </c>
      <c r="F538" s="5"/>
      <c r="G538" s="5" t="s">
        <v>1812</v>
      </c>
      <c r="H538" s="5"/>
      <c r="I538" s="5" t="s">
        <v>1813</v>
      </c>
      <c r="J538" s="7"/>
    </row>
    <row r="539" spans="1:10" ht="18" customHeight="1" x14ac:dyDescent="0.25">
      <c r="A539" s="8"/>
      <c r="B539" s="9">
        <v>482</v>
      </c>
      <c r="C539" s="6" t="str">
        <f>IFERROR(VLOOKUP(B539,[1]customers!$A:$B,2,0),"")</f>
        <v>Orbis Corporation</v>
      </c>
      <c r="D539" s="9" t="s">
        <v>1797</v>
      </c>
      <c r="E539" s="9" t="s">
        <v>1814</v>
      </c>
      <c r="F539" s="9"/>
      <c r="G539" s="9"/>
      <c r="H539" s="9" t="s">
        <v>1815</v>
      </c>
      <c r="I539" s="9" t="s">
        <v>1803</v>
      </c>
      <c r="J539" s="10"/>
    </row>
    <row r="540" spans="1:10" ht="18" customHeight="1" x14ac:dyDescent="0.25">
      <c r="A540" s="4"/>
      <c r="B540" s="5">
        <v>482</v>
      </c>
      <c r="C540" s="6" t="str">
        <f>IFERROR(VLOOKUP(B540,[1]customers!$A:$B,2,0),"")</f>
        <v>Orbis Corporation</v>
      </c>
      <c r="D540" s="5" t="s">
        <v>1797</v>
      </c>
      <c r="E540" s="5" t="s">
        <v>1816</v>
      </c>
      <c r="F540" s="5"/>
      <c r="G540" s="5" t="s">
        <v>1817</v>
      </c>
      <c r="H540" s="5" t="s">
        <v>1818</v>
      </c>
      <c r="I540" s="5" t="s">
        <v>1819</v>
      </c>
      <c r="J540" s="7"/>
    </row>
    <row r="541" spans="1:10" ht="18" customHeight="1" x14ac:dyDescent="0.25">
      <c r="A541" s="8"/>
      <c r="B541" s="9">
        <v>483</v>
      </c>
      <c r="C541" s="6" t="str">
        <f>IFERROR(VLOOKUP(B541,[1]customers!$A:$B,2,0),"")</f>
        <v>OSU Globus Medical</v>
      </c>
      <c r="D541" s="9" t="s">
        <v>1820</v>
      </c>
      <c r="E541" s="9" t="s">
        <v>1821</v>
      </c>
      <c r="F541" s="9"/>
      <c r="G541" s="9" t="s">
        <v>1822</v>
      </c>
      <c r="H541" s="9"/>
      <c r="I541" s="9" t="s">
        <v>1823</v>
      </c>
      <c r="J541" s="10"/>
    </row>
    <row r="542" spans="1:10" ht="18" customHeight="1" x14ac:dyDescent="0.25">
      <c r="A542" s="4"/>
      <c r="B542" s="5">
        <v>487</v>
      </c>
      <c r="C542" s="6" t="str">
        <f>IFERROR(VLOOKUP(B542,[1]customers!$A:$B,2,0),"")</f>
        <v>OVS Grinding Co.</v>
      </c>
      <c r="D542" s="5" t="s">
        <v>1824</v>
      </c>
      <c r="E542" s="5" t="s">
        <v>1825</v>
      </c>
      <c r="F542" s="5"/>
      <c r="G542" s="5" t="s">
        <v>1826</v>
      </c>
      <c r="H542" s="5" t="s">
        <v>1827</v>
      </c>
      <c r="I542" s="5" t="s">
        <v>1828</v>
      </c>
      <c r="J542" s="7"/>
    </row>
    <row r="543" spans="1:10" ht="18" customHeight="1" x14ac:dyDescent="0.25">
      <c r="A543" s="4"/>
      <c r="B543" s="5">
        <v>489</v>
      </c>
      <c r="C543" s="6" t="str">
        <f>IFERROR(VLOOKUP(B543,[1]customers!$A:$B,2,0),"")</f>
        <v>Pan Logistics</v>
      </c>
      <c r="D543" s="5" t="s">
        <v>1829</v>
      </c>
      <c r="E543" s="5" t="s">
        <v>1830</v>
      </c>
      <c r="F543" s="5"/>
      <c r="G543" s="5"/>
      <c r="H543" s="5"/>
      <c r="I543" s="5"/>
      <c r="J543" s="7"/>
    </row>
    <row r="544" spans="1:10" ht="18" customHeight="1" x14ac:dyDescent="0.25">
      <c r="A544" s="8"/>
      <c r="B544" s="9">
        <v>490</v>
      </c>
      <c r="C544" s="6" t="str">
        <f>IFERROR(VLOOKUP(B544,[1]customers!$A:$B,2,0),"")</f>
        <v>Parker Hannifin Corp</v>
      </c>
      <c r="D544" s="9" t="s">
        <v>1831</v>
      </c>
      <c r="E544" s="9" t="s">
        <v>1832</v>
      </c>
      <c r="F544" s="9"/>
      <c r="G544" s="9" t="s">
        <v>1833</v>
      </c>
      <c r="H544" s="9"/>
      <c r="I544" s="9" t="s">
        <v>1834</v>
      </c>
      <c r="J544" s="10"/>
    </row>
    <row r="545" spans="1:10" ht="18" customHeight="1" x14ac:dyDescent="0.25">
      <c r="A545" s="4"/>
      <c r="B545" s="5">
        <v>490</v>
      </c>
      <c r="C545" s="6" t="str">
        <f>IFERROR(VLOOKUP(B545,[1]customers!$A:$B,2,0),"")</f>
        <v>Parker Hannifin Corp</v>
      </c>
      <c r="D545" s="5" t="s">
        <v>1831</v>
      </c>
      <c r="E545" s="5" t="s">
        <v>1835</v>
      </c>
      <c r="F545" s="5"/>
      <c r="G545" s="5" t="s">
        <v>1836</v>
      </c>
      <c r="H545" s="5"/>
      <c r="I545" s="5" t="s">
        <v>1837</v>
      </c>
      <c r="J545" s="7"/>
    </row>
    <row r="546" spans="1:10" ht="18" customHeight="1" x14ac:dyDescent="0.25">
      <c r="A546" s="8"/>
      <c r="B546" s="9">
        <v>492</v>
      </c>
      <c r="C546" s="6" t="str">
        <f>IFERROR(VLOOKUP(B546,[1]customers!$A:$B,2,0),"")</f>
        <v>PC Krause and Associates, Inc</v>
      </c>
      <c r="D546" s="9" t="s">
        <v>1838</v>
      </c>
      <c r="E546" s="9" t="s">
        <v>1839</v>
      </c>
      <c r="F546" s="9"/>
      <c r="G546" s="9" t="s">
        <v>1840</v>
      </c>
      <c r="H546" s="9"/>
      <c r="I546" s="9" t="s">
        <v>1841</v>
      </c>
      <c r="J546" s="10"/>
    </row>
    <row r="547" spans="1:10" ht="18" customHeight="1" x14ac:dyDescent="0.25">
      <c r="A547" s="4"/>
      <c r="B547" s="5">
        <v>493</v>
      </c>
      <c r="C547" s="6" t="str">
        <f>IFERROR(VLOOKUP(B547,[1]customers!$A:$B,2,0),"")</f>
        <v>PDI Ground Support Systems</v>
      </c>
      <c r="D547" s="5" t="s">
        <v>1842</v>
      </c>
      <c r="E547" s="5" t="s">
        <v>1843</v>
      </c>
      <c r="F547" s="5"/>
      <c r="G547" s="5" t="s">
        <v>1844</v>
      </c>
      <c r="H547" s="5"/>
      <c r="I547" s="5" t="s">
        <v>1845</v>
      </c>
      <c r="J547" s="7"/>
    </row>
    <row r="548" spans="1:10" ht="18" customHeight="1" x14ac:dyDescent="0.25">
      <c r="A548" s="8"/>
      <c r="B548" s="9">
        <v>495</v>
      </c>
      <c r="C548" s="6" t="str">
        <f>IFERROR(VLOOKUP(B548,[1]customers!$A:$B,2,0),"")</f>
        <v>Peerless-Winsmith, Inc</v>
      </c>
      <c r="D548" s="9" t="s">
        <v>1846</v>
      </c>
      <c r="E548" s="9" t="s">
        <v>1847</v>
      </c>
      <c r="F548" s="9"/>
      <c r="G548" s="9" t="s">
        <v>1848</v>
      </c>
      <c r="H548" s="9"/>
      <c r="I548" s="9" t="s">
        <v>1849</v>
      </c>
      <c r="J548" s="10"/>
    </row>
    <row r="549" spans="1:10" ht="18" customHeight="1" x14ac:dyDescent="0.25">
      <c r="A549" s="8"/>
      <c r="B549" s="9">
        <v>498</v>
      </c>
      <c r="C549" s="6" t="str">
        <f>IFERROR(VLOOKUP(B549,[1]customers!$A:$B,2,0),"")</f>
        <v>Performance Health</v>
      </c>
      <c r="D549" s="9" t="s">
        <v>1850</v>
      </c>
      <c r="E549" s="9" t="s">
        <v>1851</v>
      </c>
      <c r="F549" s="9"/>
      <c r="G549" s="9" t="s">
        <v>1852</v>
      </c>
      <c r="H549" s="9"/>
      <c r="I549" s="9" t="s">
        <v>1286</v>
      </c>
      <c r="J549" s="10"/>
    </row>
    <row r="550" spans="1:10" ht="18" customHeight="1" x14ac:dyDescent="0.25">
      <c r="A550" s="4"/>
      <c r="B550" s="5">
        <v>499</v>
      </c>
      <c r="C550" s="6" t="str">
        <f>IFERROR(VLOOKUP(B550,[1]customers!$A:$B,2,0),"")</f>
        <v>Permco Inc</v>
      </c>
      <c r="D550" s="5" t="s">
        <v>1853</v>
      </c>
      <c r="E550" s="5" t="s">
        <v>1854</v>
      </c>
      <c r="F550" s="5"/>
      <c r="G550" s="5" t="s">
        <v>1855</v>
      </c>
      <c r="H550" s="5"/>
      <c r="I550" s="5" t="s">
        <v>1856</v>
      </c>
      <c r="J550" s="7"/>
    </row>
    <row r="551" spans="1:10" ht="18" customHeight="1" x14ac:dyDescent="0.25">
      <c r="A551" s="8"/>
      <c r="B551" s="9">
        <v>499</v>
      </c>
      <c r="C551" s="6" t="str">
        <f>IFERROR(VLOOKUP(B551,[1]customers!$A:$B,2,0),"")</f>
        <v>Permco Inc</v>
      </c>
      <c r="D551" s="9" t="s">
        <v>1853</v>
      </c>
      <c r="E551" s="9" t="s">
        <v>1857</v>
      </c>
      <c r="F551" s="9"/>
      <c r="G551" s="9" t="s">
        <v>1858</v>
      </c>
      <c r="H551" s="9"/>
      <c r="I551" s="9"/>
      <c r="J551" s="10"/>
    </row>
    <row r="552" spans="1:10" ht="18" customHeight="1" x14ac:dyDescent="0.25">
      <c r="A552" s="4"/>
      <c r="B552" s="5">
        <v>501</v>
      </c>
      <c r="C552" s="6" t="str">
        <f>IFERROR(VLOOKUP(B552,[1]customers!$A:$B,2,0),"")</f>
        <v>Philpott Rubber &amp; Plastics</v>
      </c>
      <c r="D552" s="5" t="s">
        <v>1859</v>
      </c>
      <c r="E552" s="5" t="s">
        <v>1860</v>
      </c>
      <c r="F552" s="5"/>
      <c r="G552" s="5" t="s">
        <v>1861</v>
      </c>
      <c r="H552" s="5" t="s">
        <v>1862</v>
      </c>
      <c r="I552" s="5" t="s">
        <v>1863</v>
      </c>
      <c r="J552" s="7"/>
    </row>
    <row r="553" spans="1:10" ht="18" customHeight="1" x14ac:dyDescent="0.25">
      <c r="A553" s="4"/>
      <c r="B553" s="5">
        <v>503</v>
      </c>
      <c r="C553" s="6" t="str">
        <f>IFERROR(VLOOKUP(B553,[1]customers!$A:$B,2,0),"")</f>
        <v>Pioneer Grinding</v>
      </c>
      <c r="D553" s="5" t="s">
        <v>1864</v>
      </c>
      <c r="E553" s="5" t="s">
        <v>1865</v>
      </c>
      <c r="F553" s="5"/>
      <c r="G553" s="5" t="s">
        <v>1866</v>
      </c>
      <c r="H553" s="5" t="s">
        <v>1867</v>
      </c>
      <c r="I553" s="5"/>
      <c r="J553" s="7"/>
    </row>
    <row r="554" spans="1:10" ht="18" customHeight="1" x14ac:dyDescent="0.25">
      <c r="A554" s="8"/>
      <c r="B554" s="9">
        <v>377</v>
      </c>
      <c r="C554" s="6" t="str">
        <f>IFERROR(VLOOKUP(B554,[1]customers!$A:$B,2,0),"")</f>
        <v>Kiraly Tool and Die</v>
      </c>
      <c r="D554" s="9" t="s">
        <v>1868</v>
      </c>
      <c r="E554" s="9" t="s">
        <v>1869</v>
      </c>
      <c r="F554" s="9"/>
      <c r="G554" s="9"/>
      <c r="H554" s="9"/>
      <c r="I554" s="9" t="s">
        <v>1870</v>
      </c>
      <c r="J554" s="10"/>
    </row>
    <row r="555" spans="1:10" ht="18" customHeight="1" x14ac:dyDescent="0.25">
      <c r="A555" s="4"/>
      <c r="B555" s="5">
        <v>505</v>
      </c>
      <c r="C555" s="6" t="str">
        <f>IFERROR(VLOOKUP(B555,[1]customers!$A:$B,2,0),"")</f>
        <v>Pizza Fire</v>
      </c>
      <c r="D555" s="5" t="s">
        <v>1871</v>
      </c>
      <c r="E555" s="5" t="s">
        <v>1872</v>
      </c>
      <c r="F555" s="5"/>
      <c r="G555" s="5" t="s">
        <v>1873</v>
      </c>
      <c r="H555" s="5" t="s">
        <v>1874</v>
      </c>
      <c r="I555" s="5"/>
      <c r="J555" s="7"/>
    </row>
    <row r="556" spans="1:10" ht="18" customHeight="1" x14ac:dyDescent="0.25">
      <c r="A556" s="8"/>
      <c r="B556" s="9">
        <v>506</v>
      </c>
      <c r="C556" s="6" t="str">
        <f>IFERROR(VLOOKUP(B556,[1]customers!$A:$B,2,0),"")</f>
        <v>Plastic Machinery Group</v>
      </c>
      <c r="D556" s="9" t="s">
        <v>1875</v>
      </c>
      <c r="E556" s="9" t="s">
        <v>1876</v>
      </c>
      <c r="F556" s="9"/>
      <c r="G556" s="9"/>
      <c r="H556" s="9"/>
      <c r="I556" s="9" t="s">
        <v>1877</v>
      </c>
      <c r="J556" s="10"/>
    </row>
    <row r="557" spans="1:10" ht="18" customHeight="1" x14ac:dyDescent="0.25">
      <c r="A557" s="4"/>
      <c r="B557" s="5">
        <v>506</v>
      </c>
      <c r="C557" s="6" t="str">
        <f>IFERROR(VLOOKUP(B557,[1]customers!$A:$B,2,0),"")</f>
        <v>Plastic Machinery Group</v>
      </c>
      <c r="D557" s="5" t="s">
        <v>1875</v>
      </c>
      <c r="E557" s="5" t="s">
        <v>1876</v>
      </c>
      <c r="F557" s="5"/>
      <c r="G557" s="5" t="s">
        <v>1878</v>
      </c>
      <c r="H557" s="5"/>
      <c r="I557" s="5" t="s">
        <v>1879</v>
      </c>
      <c r="J557" s="7"/>
    </row>
    <row r="558" spans="1:10" ht="18" customHeight="1" x14ac:dyDescent="0.25">
      <c r="A558" s="8"/>
      <c r="B558" s="9">
        <v>506</v>
      </c>
      <c r="C558" s="6" t="str">
        <f>IFERROR(VLOOKUP(B558,[1]customers!$A:$B,2,0),"")</f>
        <v>Plastic Machinery Group</v>
      </c>
      <c r="D558" s="9" t="s">
        <v>1875</v>
      </c>
      <c r="E558" s="9" t="s">
        <v>1880</v>
      </c>
      <c r="F558" s="9"/>
      <c r="G558" s="9" t="s">
        <v>1881</v>
      </c>
      <c r="H558" s="9" t="s">
        <v>1882</v>
      </c>
      <c r="I558" s="9"/>
      <c r="J558" s="10"/>
    </row>
    <row r="559" spans="1:10" ht="18" customHeight="1" x14ac:dyDescent="0.25">
      <c r="A559" s="4"/>
      <c r="B559" s="5">
        <v>506</v>
      </c>
      <c r="C559" s="6" t="str">
        <f>IFERROR(VLOOKUP(B559,[1]customers!$A:$B,2,0),"")</f>
        <v>Plastic Machinery Group</v>
      </c>
      <c r="D559" s="5" t="s">
        <v>1875</v>
      </c>
      <c r="E559" s="5" t="s">
        <v>1883</v>
      </c>
      <c r="F559" s="5"/>
      <c r="G559" s="5" t="s">
        <v>1884</v>
      </c>
      <c r="H559" s="5"/>
      <c r="I559" s="5" t="s">
        <v>1882</v>
      </c>
      <c r="J559" s="7"/>
    </row>
    <row r="560" spans="1:10" ht="18" customHeight="1" x14ac:dyDescent="0.25">
      <c r="A560" s="8"/>
      <c r="B560" s="9">
        <v>506</v>
      </c>
      <c r="C560" s="6" t="str">
        <f>IFERROR(VLOOKUP(B560,[1]customers!$A:$B,2,0),"")</f>
        <v>Plastic Machinery Group</v>
      </c>
      <c r="D560" s="9" t="s">
        <v>1875</v>
      </c>
      <c r="E560" s="9" t="s">
        <v>1885</v>
      </c>
      <c r="F560" s="9"/>
      <c r="G560" s="9" t="s">
        <v>1886</v>
      </c>
      <c r="H560" s="9"/>
      <c r="I560" s="9" t="s">
        <v>1882</v>
      </c>
      <c r="J560" s="10"/>
    </row>
    <row r="561" spans="1:10" ht="18" customHeight="1" x14ac:dyDescent="0.25">
      <c r="A561" s="4"/>
      <c r="B561" s="5">
        <v>507</v>
      </c>
      <c r="C561" s="6" t="str">
        <f>IFERROR(VLOOKUP(B561,[1]customers!$A:$B,2,0),"")</f>
        <v>Plastic Materials Inc</v>
      </c>
      <c r="D561" s="5" t="s">
        <v>1887</v>
      </c>
      <c r="E561" s="5" t="s">
        <v>1888</v>
      </c>
      <c r="F561" s="5"/>
      <c r="G561" s="5"/>
      <c r="H561" s="5" t="s">
        <v>1889</v>
      </c>
      <c r="I561" s="5"/>
      <c r="J561" s="7"/>
    </row>
    <row r="562" spans="1:10" ht="18" customHeight="1" x14ac:dyDescent="0.25">
      <c r="A562" s="8"/>
      <c r="B562" s="9">
        <v>509</v>
      </c>
      <c r="C562" s="6" t="str">
        <f>IFERROR(VLOOKUP(B562,[1]customers!$A:$B,2,0),"")</f>
        <v>Plastiwin Capital Equipment</v>
      </c>
      <c r="D562" s="9" t="s">
        <v>1890</v>
      </c>
      <c r="E562" s="9" t="s">
        <v>1891</v>
      </c>
      <c r="F562" s="9"/>
      <c r="G562" s="9" t="s">
        <v>1892</v>
      </c>
      <c r="H562" s="9"/>
      <c r="I562" s="9" t="s">
        <v>1893</v>
      </c>
      <c r="J562" s="10"/>
    </row>
    <row r="563" spans="1:10" ht="18" customHeight="1" x14ac:dyDescent="0.25">
      <c r="A563" s="4"/>
      <c r="B563" s="5">
        <v>509</v>
      </c>
      <c r="C563" s="6" t="str">
        <f>IFERROR(VLOOKUP(B563,[1]customers!$A:$B,2,0),"")</f>
        <v>Plastiwin Capital Equipment</v>
      </c>
      <c r="D563" s="5" t="s">
        <v>1890</v>
      </c>
      <c r="E563" s="5" t="s">
        <v>1894</v>
      </c>
      <c r="F563" s="5"/>
      <c r="G563" s="5" t="s">
        <v>1895</v>
      </c>
      <c r="H563" s="5"/>
      <c r="I563" s="5" t="s">
        <v>1896</v>
      </c>
      <c r="J563" s="7"/>
    </row>
    <row r="564" spans="1:10" ht="18" customHeight="1" x14ac:dyDescent="0.25">
      <c r="A564" s="4"/>
      <c r="B564" s="5">
        <v>511</v>
      </c>
      <c r="C564" s="6" t="str">
        <f>IFERROR(VLOOKUP(B564,[1]customers!$A:$B,2,0),"")</f>
        <v>Polyfill LLC</v>
      </c>
      <c r="D564" s="5" t="s">
        <v>1897</v>
      </c>
      <c r="E564" s="5" t="s">
        <v>1898</v>
      </c>
      <c r="F564" s="5"/>
      <c r="G564" s="5" t="s">
        <v>1899</v>
      </c>
      <c r="H564" s="5" t="s">
        <v>1900</v>
      </c>
      <c r="I564" s="5" t="s">
        <v>1901</v>
      </c>
      <c r="J564" s="7"/>
    </row>
    <row r="565" spans="1:10" ht="18" customHeight="1" x14ac:dyDescent="0.25">
      <c r="A565" s="8"/>
      <c r="B565" s="9">
        <v>511</v>
      </c>
      <c r="C565" s="6" t="str">
        <f>IFERROR(VLOOKUP(B565,[1]customers!$A:$B,2,0),"")</f>
        <v>Polyfill LLC</v>
      </c>
      <c r="D565" s="9" t="s">
        <v>1897</v>
      </c>
      <c r="E565" s="9" t="s">
        <v>1902</v>
      </c>
      <c r="F565" s="9"/>
      <c r="G565" s="9" t="s">
        <v>1903</v>
      </c>
      <c r="H565" s="9" t="s">
        <v>1904</v>
      </c>
      <c r="I565" s="9" t="s">
        <v>1905</v>
      </c>
      <c r="J565" s="10"/>
    </row>
    <row r="566" spans="1:10" ht="18" customHeight="1" x14ac:dyDescent="0.25">
      <c r="A566" s="4"/>
      <c r="B566" s="5">
        <v>511</v>
      </c>
      <c r="C566" s="6" t="str">
        <f>IFERROR(VLOOKUP(B566,[1]customers!$A:$B,2,0),"")</f>
        <v>Polyfill LLC</v>
      </c>
      <c r="D566" s="5" t="s">
        <v>1897</v>
      </c>
      <c r="E566" s="5" t="s">
        <v>1906</v>
      </c>
      <c r="F566" s="5"/>
      <c r="G566" s="5" t="s">
        <v>1907</v>
      </c>
      <c r="H566" s="5" t="s">
        <v>1908</v>
      </c>
      <c r="I566" s="5" t="s">
        <v>1909</v>
      </c>
      <c r="J566" s="7"/>
    </row>
    <row r="567" spans="1:10" ht="18" customHeight="1" x14ac:dyDescent="0.25">
      <c r="A567" s="8"/>
      <c r="B567" s="9">
        <v>512</v>
      </c>
      <c r="C567" s="6" t="str">
        <f>IFERROR(VLOOKUP(B567,[1]customers!$A:$B,2,0),"")</f>
        <v>Polykala Tech</v>
      </c>
      <c r="D567" s="9" t="s">
        <v>1910</v>
      </c>
      <c r="E567" s="9" t="s">
        <v>1911</v>
      </c>
      <c r="F567" s="9"/>
      <c r="G567" s="9" t="s">
        <v>1912</v>
      </c>
      <c r="H567" s="9" t="s">
        <v>1913</v>
      </c>
      <c r="I567" s="9"/>
      <c r="J567" s="10"/>
    </row>
    <row r="568" spans="1:10" ht="18" customHeight="1" x14ac:dyDescent="0.25">
      <c r="A568" s="4"/>
      <c r="B568" s="5">
        <v>514</v>
      </c>
      <c r="C568" s="6" t="str">
        <f>IFERROR(VLOOKUP(B568,[1]customers!$A:$B,2,0),"")</f>
        <v>Polymer Machinery Company</v>
      </c>
      <c r="D568" s="5" t="s">
        <v>1914</v>
      </c>
      <c r="E568" s="5" t="s">
        <v>1915</v>
      </c>
      <c r="F568" s="5"/>
      <c r="G568" s="5"/>
      <c r="H568" s="5"/>
      <c r="I568" s="5" t="s">
        <v>1916</v>
      </c>
      <c r="J568" s="7"/>
    </row>
    <row r="569" spans="1:10" ht="18" customHeight="1" x14ac:dyDescent="0.25">
      <c r="A569" s="8"/>
      <c r="B569" s="9">
        <v>513</v>
      </c>
      <c r="C569" s="6" t="str">
        <f>IFERROR(VLOOKUP(B569,[1]customers!$A:$B,2,0),"")</f>
        <v>Polymer 5</v>
      </c>
      <c r="D569" s="9" t="s">
        <v>1917</v>
      </c>
      <c r="E569" s="9" t="s">
        <v>1918</v>
      </c>
      <c r="F569" s="9"/>
      <c r="G569" s="9" t="s">
        <v>1919</v>
      </c>
      <c r="H569" s="9"/>
      <c r="I569" s="9" t="s">
        <v>1920</v>
      </c>
      <c r="J569" s="10"/>
    </row>
    <row r="570" spans="1:10" ht="18" customHeight="1" x14ac:dyDescent="0.25">
      <c r="A570" s="4"/>
      <c r="B570" s="5">
        <v>73</v>
      </c>
      <c r="C570" s="6" t="str">
        <f>IFERROR(VLOOKUP(B570,[1]customers!$A:$B,2,0),"")</f>
        <v>Avient Corporation (PolyOne)</v>
      </c>
      <c r="D570" s="5" t="s">
        <v>1921</v>
      </c>
      <c r="E570" s="5" t="s">
        <v>1922</v>
      </c>
      <c r="F570" s="5"/>
      <c r="G570" s="5" t="s">
        <v>1923</v>
      </c>
      <c r="H570" s="5"/>
      <c r="I570" s="5"/>
      <c r="J570" s="7"/>
    </row>
    <row r="571" spans="1:10" ht="18" customHeight="1" x14ac:dyDescent="0.25">
      <c r="A571" s="8"/>
      <c r="B571" s="9">
        <v>73</v>
      </c>
      <c r="C571" s="6" t="str">
        <f>IFERROR(VLOOKUP(B571,[1]customers!$A:$B,2,0),"")</f>
        <v>Avient Corporation (PolyOne)</v>
      </c>
      <c r="D571" s="9" t="s">
        <v>1921</v>
      </c>
      <c r="E571" s="9" t="s">
        <v>1924</v>
      </c>
      <c r="F571" s="9"/>
      <c r="G571" s="9" t="s">
        <v>1925</v>
      </c>
      <c r="H571" s="9" t="s">
        <v>1926</v>
      </c>
      <c r="I571" s="9"/>
      <c r="J571" s="10"/>
    </row>
    <row r="572" spans="1:10" ht="18" customHeight="1" x14ac:dyDescent="0.25">
      <c r="A572" s="4"/>
      <c r="B572" s="5">
        <v>73</v>
      </c>
      <c r="C572" s="6" t="str">
        <f>IFERROR(VLOOKUP(B572,[1]customers!$A:$B,2,0),"")</f>
        <v>Avient Corporation (PolyOne)</v>
      </c>
      <c r="D572" s="5" t="s">
        <v>1921</v>
      </c>
      <c r="E572" s="5" t="s">
        <v>1927</v>
      </c>
      <c r="F572" s="5"/>
      <c r="G572" s="5" t="s">
        <v>1928</v>
      </c>
      <c r="H572" s="5"/>
      <c r="I572" s="5"/>
      <c r="J572" s="7"/>
    </row>
    <row r="573" spans="1:10" ht="18" customHeight="1" x14ac:dyDescent="0.25">
      <c r="A573" s="8"/>
      <c r="B573" s="9">
        <v>73</v>
      </c>
      <c r="C573" s="6" t="str">
        <f>IFERROR(VLOOKUP(B573,[1]customers!$A:$B,2,0),"")</f>
        <v>Avient Corporation (PolyOne)</v>
      </c>
      <c r="D573" s="9" t="s">
        <v>1921</v>
      </c>
      <c r="E573" s="9" t="s">
        <v>1929</v>
      </c>
      <c r="F573" s="9"/>
      <c r="G573" s="9" t="s">
        <v>1930</v>
      </c>
      <c r="H573" s="9"/>
      <c r="I573" s="9"/>
      <c r="J573" s="10"/>
    </row>
    <row r="574" spans="1:10" ht="18" customHeight="1" x14ac:dyDescent="0.25">
      <c r="A574" s="4"/>
      <c r="B574" s="5">
        <v>517</v>
      </c>
      <c r="C574" s="6" t="str">
        <f>IFERROR(VLOOKUP(B574,[1]customers!$A:$B,2,0),"")</f>
        <v>Positech Corporation</v>
      </c>
      <c r="D574" s="5" t="s">
        <v>1931</v>
      </c>
      <c r="E574" s="5" t="s">
        <v>1932</v>
      </c>
      <c r="F574" s="5"/>
      <c r="G574" s="5" t="s">
        <v>1933</v>
      </c>
      <c r="H574" s="5"/>
      <c r="I574" s="5" t="s">
        <v>1934</v>
      </c>
      <c r="J574" s="7"/>
    </row>
    <row r="575" spans="1:10" ht="18" customHeight="1" x14ac:dyDescent="0.25">
      <c r="A575" s="8"/>
      <c r="B575" s="9">
        <v>519</v>
      </c>
      <c r="C575" s="6" t="str">
        <f>IFERROR(VLOOKUP(B575,[1]customers!$A:$B,2,0),"")</f>
        <v>Precision Finishing Systems</v>
      </c>
      <c r="D575" s="9" t="s">
        <v>1935</v>
      </c>
      <c r="E575" s="9" t="s">
        <v>1936</v>
      </c>
      <c r="F575" s="9"/>
      <c r="G575" s="9" t="s">
        <v>1937</v>
      </c>
      <c r="H575" s="9"/>
      <c r="I575" s="9" t="s">
        <v>577</v>
      </c>
      <c r="J575" s="10"/>
    </row>
    <row r="576" spans="1:10" ht="18" customHeight="1" x14ac:dyDescent="0.25">
      <c r="A576" s="4"/>
      <c r="B576" s="5">
        <v>520</v>
      </c>
      <c r="C576" s="6" t="str">
        <f>IFERROR(VLOOKUP(B576,[1]customers!$A:$B,2,0),"")</f>
        <v>Premier Equipment</v>
      </c>
      <c r="D576" s="5" t="s">
        <v>1938</v>
      </c>
      <c r="E576" s="5" t="s">
        <v>1939</v>
      </c>
      <c r="F576" s="5"/>
      <c r="G576" s="5"/>
      <c r="H576" s="5"/>
      <c r="I576" s="5" t="s">
        <v>1940</v>
      </c>
      <c r="J576" s="7"/>
    </row>
    <row r="577" spans="1:10" ht="18" customHeight="1" x14ac:dyDescent="0.25">
      <c r="A577" s="8"/>
      <c r="B577" s="9">
        <v>520</v>
      </c>
      <c r="C577" s="6" t="str">
        <f>IFERROR(VLOOKUP(B577,[1]customers!$A:$B,2,0),"")</f>
        <v>Premier Equipment</v>
      </c>
      <c r="D577" s="9" t="s">
        <v>1938</v>
      </c>
      <c r="E577" s="9" t="s">
        <v>1941</v>
      </c>
      <c r="F577" s="9"/>
      <c r="G577" s="9" t="s">
        <v>1942</v>
      </c>
      <c r="H577" s="9"/>
      <c r="I577" s="9" t="s">
        <v>1943</v>
      </c>
      <c r="J577" s="10"/>
    </row>
    <row r="578" spans="1:10" ht="18" customHeight="1" x14ac:dyDescent="0.25">
      <c r="A578" s="4"/>
      <c r="B578" s="5">
        <v>521</v>
      </c>
      <c r="C578" s="6" t="str">
        <f>IFERROR(VLOOKUP(B578,[1]customers!$A:$B,2,0),"")</f>
        <v>Premium Conwin</v>
      </c>
      <c r="D578" s="5" t="s">
        <v>1944</v>
      </c>
      <c r="E578" s="5" t="s">
        <v>1945</v>
      </c>
      <c r="F578" s="5"/>
      <c r="G578" s="5" t="s">
        <v>1946</v>
      </c>
      <c r="H578" s="5"/>
      <c r="I578" s="5">
        <v>3308081964</v>
      </c>
      <c r="J578" s="7"/>
    </row>
    <row r="579" spans="1:10" ht="18" customHeight="1" x14ac:dyDescent="0.25">
      <c r="A579" s="8"/>
      <c r="B579" s="9">
        <v>524</v>
      </c>
      <c r="C579" s="6" t="str">
        <f>IFERROR(VLOOKUP(B579,[1]customers!$A:$B,2,0),"")</f>
        <v>Process Cooling Systems</v>
      </c>
      <c r="D579" s="9" t="s">
        <v>1947</v>
      </c>
      <c r="E579" s="9" t="s">
        <v>1948</v>
      </c>
      <c r="F579" s="9"/>
      <c r="G579" s="9" t="s">
        <v>1949</v>
      </c>
      <c r="H579" s="9" t="s">
        <v>1950</v>
      </c>
      <c r="I579" s="9" t="s">
        <v>1951</v>
      </c>
      <c r="J579" s="10"/>
    </row>
    <row r="580" spans="1:10" ht="18" customHeight="1" x14ac:dyDescent="0.25">
      <c r="A580" s="4"/>
      <c r="B580" s="5">
        <v>525</v>
      </c>
      <c r="C580" s="6" t="str">
        <f>IFERROR(VLOOKUP(B580,[1]customers!$A:$B,2,0),"")</f>
        <v>Proform Group Inc</v>
      </c>
      <c r="D580" s="5" t="s">
        <v>1952</v>
      </c>
      <c r="E580" s="5" t="s">
        <v>1953</v>
      </c>
      <c r="F580" s="5"/>
      <c r="G580" s="5"/>
      <c r="H580" s="5"/>
      <c r="I580" s="5" t="s">
        <v>1954</v>
      </c>
      <c r="J580" s="7"/>
    </row>
    <row r="581" spans="1:10" ht="18" customHeight="1" x14ac:dyDescent="0.25">
      <c r="A581" s="8"/>
      <c r="B581" s="9">
        <v>526</v>
      </c>
      <c r="C581" s="6" t="str">
        <f>IFERROR(VLOOKUP(B581,[1]customers!$A:$B,2,0),"")</f>
        <v>Progressive Insurance</v>
      </c>
      <c r="D581" s="9" t="s">
        <v>1955</v>
      </c>
      <c r="E581" s="9" t="s">
        <v>1956</v>
      </c>
      <c r="F581" s="9"/>
      <c r="G581" s="9" t="s">
        <v>1957</v>
      </c>
      <c r="H581" s="9"/>
      <c r="I581" s="9" t="s">
        <v>1958</v>
      </c>
      <c r="J581" s="10"/>
    </row>
    <row r="582" spans="1:10" ht="18" customHeight="1" x14ac:dyDescent="0.25">
      <c r="A582" s="4"/>
      <c r="B582" s="5">
        <v>534</v>
      </c>
      <c r="C582" s="6" t="str">
        <f>IFERROR(VLOOKUP(B582,[1]customers!$A:$B,2,0),"")</f>
        <v>PurFoods</v>
      </c>
      <c r="D582" s="5" t="s">
        <v>1959</v>
      </c>
      <c r="E582" s="5" t="s">
        <v>1960</v>
      </c>
      <c r="F582" s="5"/>
      <c r="G582" s="5" t="s">
        <v>1961</v>
      </c>
      <c r="H582" s="5"/>
      <c r="I582" s="5" t="s">
        <v>1962</v>
      </c>
      <c r="J582" s="7"/>
    </row>
    <row r="583" spans="1:10" ht="18" customHeight="1" x14ac:dyDescent="0.25">
      <c r="A583" s="8"/>
      <c r="B583" s="9">
        <v>536</v>
      </c>
      <c r="C583" s="6" t="str">
        <f>IFERROR(VLOOKUP(B583,[1]customers!$A:$B,2,0),"")</f>
        <v>Pyramid Mold &amp; Machine</v>
      </c>
      <c r="D583" s="9" t="s">
        <v>1963</v>
      </c>
      <c r="E583" s="9" t="s">
        <v>1964</v>
      </c>
      <c r="F583" s="9"/>
      <c r="G583" s="9" t="s">
        <v>1965</v>
      </c>
      <c r="H583" s="9" t="s">
        <v>1966</v>
      </c>
      <c r="I583" s="9"/>
      <c r="J583" s="10"/>
    </row>
    <row r="584" spans="1:10" ht="18" customHeight="1" x14ac:dyDescent="0.25">
      <c r="A584" s="4"/>
      <c r="B584" s="5">
        <v>537</v>
      </c>
      <c r="C584" s="6" t="str">
        <f>IFERROR(VLOOKUP(B584,[1]customers!$A:$B,2,0),"")</f>
        <v>Pyrotek</v>
      </c>
      <c r="D584" s="5" t="s">
        <v>1967</v>
      </c>
      <c r="E584" s="5" t="s">
        <v>1968</v>
      </c>
      <c r="F584" s="5"/>
      <c r="G584" s="5" t="s">
        <v>1969</v>
      </c>
      <c r="H584" s="5"/>
      <c r="I584" s="5" t="s">
        <v>1970</v>
      </c>
      <c r="J584" s="7"/>
    </row>
    <row r="585" spans="1:10" ht="18" customHeight="1" x14ac:dyDescent="0.25">
      <c r="A585" s="8"/>
      <c r="B585" s="9">
        <v>537</v>
      </c>
      <c r="C585" s="6" t="str">
        <f>IFERROR(VLOOKUP(B585,[1]customers!$A:$B,2,0),"")</f>
        <v>Pyrotek</v>
      </c>
      <c r="D585" s="9" t="s">
        <v>1967</v>
      </c>
      <c r="E585" s="9" t="s">
        <v>1971</v>
      </c>
      <c r="F585" s="9"/>
      <c r="G585" s="9" t="s">
        <v>1972</v>
      </c>
      <c r="H585" s="9" t="s">
        <v>1973</v>
      </c>
      <c r="I585" s="9"/>
      <c r="J585" s="10"/>
    </row>
    <row r="586" spans="1:10" ht="18" customHeight="1" x14ac:dyDescent="0.25">
      <c r="A586" s="4"/>
      <c r="B586" s="5">
        <v>537</v>
      </c>
      <c r="C586" s="6" t="str">
        <f>IFERROR(VLOOKUP(B586,[1]customers!$A:$B,2,0),"")</f>
        <v>Pyrotek</v>
      </c>
      <c r="D586" s="5" t="s">
        <v>1967</v>
      </c>
      <c r="E586" s="5" t="s">
        <v>1974</v>
      </c>
      <c r="F586" s="5"/>
      <c r="G586" s="5" t="s">
        <v>1975</v>
      </c>
      <c r="H586" s="5" t="s">
        <v>1976</v>
      </c>
      <c r="I586" s="5" t="s">
        <v>1977</v>
      </c>
      <c r="J586" s="7"/>
    </row>
    <row r="587" spans="1:10" ht="18" customHeight="1" x14ac:dyDescent="0.25">
      <c r="A587" s="8"/>
      <c r="B587" s="9">
        <v>537</v>
      </c>
      <c r="C587" s="6" t="str">
        <f>IFERROR(VLOOKUP(B587,[1]customers!$A:$B,2,0),"")</f>
        <v>Pyrotek</v>
      </c>
      <c r="D587" s="9" t="s">
        <v>1967</v>
      </c>
      <c r="E587" s="9" t="s">
        <v>1978</v>
      </c>
      <c r="F587" s="9"/>
      <c r="G587" s="9" t="s">
        <v>1979</v>
      </c>
      <c r="H587" s="9" t="s">
        <v>1980</v>
      </c>
      <c r="I587" s="9"/>
      <c r="J587" s="10"/>
    </row>
    <row r="588" spans="1:10" ht="18" customHeight="1" x14ac:dyDescent="0.25">
      <c r="A588" s="4"/>
      <c r="B588" s="5">
        <v>537</v>
      </c>
      <c r="C588" s="6" t="str">
        <f>IFERROR(VLOOKUP(B588,[1]customers!$A:$B,2,0),"")</f>
        <v>Pyrotek</v>
      </c>
      <c r="D588" s="5" t="s">
        <v>1967</v>
      </c>
      <c r="E588" s="5" t="s">
        <v>1981</v>
      </c>
      <c r="F588" s="5"/>
      <c r="G588" s="5" t="s">
        <v>1982</v>
      </c>
      <c r="H588" s="5" t="s">
        <v>1983</v>
      </c>
      <c r="I588" s="5" t="s">
        <v>1984</v>
      </c>
      <c r="J588" s="7"/>
    </row>
    <row r="589" spans="1:10" ht="18" customHeight="1" x14ac:dyDescent="0.25">
      <c r="A589" s="8"/>
      <c r="B589" s="9">
        <v>537</v>
      </c>
      <c r="C589" s="6" t="str">
        <f>IFERROR(VLOOKUP(B589,[1]customers!$A:$B,2,0),"")</f>
        <v>Pyrotek</v>
      </c>
      <c r="D589" s="9" t="s">
        <v>1967</v>
      </c>
      <c r="E589" s="9" t="s">
        <v>1985</v>
      </c>
      <c r="F589" s="9"/>
      <c r="G589" s="9" t="s">
        <v>1979</v>
      </c>
      <c r="H589" s="9" t="s">
        <v>1986</v>
      </c>
      <c r="I589" s="9" t="s">
        <v>1987</v>
      </c>
      <c r="J589" s="10"/>
    </row>
    <row r="590" spans="1:10" ht="18" customHeight="1" x14ac:dyDescent="0.25">
      <c r="A590" s="4"/>
      <c r="B590" s="5">
        <v>537</v>
      </c>
      <c r="C590" s="6" t="str">
        <f>IFERROR(VLOOKUP(B590,[1]customers!$A:$B,2,0),"")</f>
        <v>Pyrotek</v>
      </c>
      <c r="D590" s="5" t="s">
        <v>1967</v>
      </c>
      <c r="E590" s="5" t="s">
        <v>1988</v>
      </c>
      <c r="F590" s="5"/>
      <c r="G590" s="5" t="s">
        <v>1989</v>
      </c>
      <c r="H590" s="5" t="s">
        <v>1990</v>
      </c>
      <c r="I590" s="5"/>
      <c r="J590" s="7"/>
    </row>
    <row r="591" spans="1:10" ht="18" customHeight="1" x14ac:dyDescent="0.25">
      <c r="A591" s="8"/>
      <c r="B591" s="9">
        <v>537</v>
      </c>
      <c r="C591" s="6" t="str">
        <f>IFERROR(VLOOKUP(B591,[1]customers!$A:$B,2,0),"")</f>
        <v>Pyrotek</v>
      </c>
      <c r="D591" s="9" t="s">
        <v>1967</v>
      </c>
      <c r="E591" s="9" t="s">
        <v>1991</v>
      </c>
      <c r="F591" s="9"/>
      <c r="G591" s="9" t="s">
        <v>1992</v>
      </c>
      <c r="H591" s="9" t="s">
        <v>1993</v>
      </c>
      <c r="I591" s="9" t="s">
        <v>1994</v>
      </c>
      <c r="J591" s="10"/>
    </row>
    <row r="592" spans="1:10" ht="18" customHeight="1" x14ac:dyDescent="0.25">
      <c r="A592" s="4"/>
      <c r="B592" s="5">
        <v>538</v>
      </c>
      <c r="C592" s="6" t="str">
        <f>IFERROR(VLOOKUP(B592,[1]customers!$A:$B,2,0),"")</f>
        <v>Q Model</v>
      </c>
      <c r="D592" s="5" t="s">
        <v>1995</v>
      </c>
      <c r="E592" s="5" t="s">
        <v>1996</v>
      </c>
      <c r="F592" s="5"/>
      <c r="G592" s="5" t="s">
        <v>1997</v>
      </c>
      <c r="H592" s="5" t="s">
        <v>1998</v>
      </c>
      <c r="I592" s="5"/>
      <c r="J592" s="7"/>
    </row>
    <row r="593" spans="1:10" ht="18" customHeight="1" x14ac:dyDescent="0.25">
      <c r="A593" s="8"/>
      <c r="B593" s="9">
        <v>539</v>
      </c>
      <c r="C593" s="6" t="str">
        <f>IFERROR(VLOOKUP(B593,[1]customers!$A:$B,2,0),"")</f>
        <v>QC Electronics</v>
      </c>
      <c r="D593" s="9" t="s">
        <v>1999</v>
      </c>
      <c r="E593" s="9" t="s">
        <v>2000</v>
      </c>
      <c r="F593" s="9"/>
      <c r="G593" s="9"/>
      <c r="H593" s="9" t="s">
        <v>2001</v>
      </c>
      <c r="I593" s="9"/>
      <c r="J593" s="10"/>
    </row>
    <row r="594" spans="1:10" ht="18" customHeight="1" x14ac:dyDescent="0.25">
      <c r="A594" s="4"/>
      <c r="B594" s="5">
        <v>540</v>
      </c>
      <c r="C594" s="6" t="str">
        <f>IFERROR(VLOOKUP(B594,[1]customers!$A:$B,2,0),"")</f>
        <v>Quala</v>
      </c>
      <c r="D594" s="5" t="s">
        <v>2002</v>
      </c>
      <c r="E594" s="5" t="s">
        <v>2003</v>
      </c>
      <c r="F594" s="5"/>
      <c r="G594" s="5" t="s">
        <v>2004</v>
      </c>
      <c r="H594" s="5"/>
      <c r="I594" s="5" t="s">
        <v>2005</v>
      </c>
      <c r="J594" s="7"/>
    </row>
    <row r="595" spans="1:10" ht="18" customHeight="1" x14ac:dyDescent="0.25">
      <c r="A595" s="8"/>
      <c r="B595" s="9">
        <v>540</v>
      </c>
      <c r="C595" s="6" t="str">
        <f>IFERROR(VLOOKUP(B595,[1]customers!$A:$B,2,0),"")</f>
        <v>Quala</v>
      </c>
      <c r="D595" s="9" t="s">
        <v>2002</v>
      </c>
      <c r="E595" s="9" t="s">
        <v>2006</v>
      </c>
      <c r="F595" s="9"/>
      <c r="G595" s="9" t="s">
        <v>2007</v>
      </c>
      <c r="H595" s="9"/>
      <c r="I595" s="9" t="s">
        <v>2008</v>
      </c>
      <c r="J595" s="10"/>
    </row>
    <row r="596" spans="1:10" ht="18" customHeight="1" x14ac:dyDescent="0.25">
      <c r="A596" s="4"/>
      <c r="B596" s="5">
        <v>540</v>
      </c>
      <c r="C596" s="6" t="str">
        <f>IFERROR(VLOOKUP(B596,[1]customers!$A:$B,2,0),"")</f>
        <v>Quala</v>
      </c>
      <c r="D596" s="5" t="s">
        <v>2002</v>
      </c>
      <c r="E596" s="5" t="s">
        <v>2009</v>
      </c>
      <c r="F596" s="5"/>
      <c r="G596" s="5" t="s">
        <v>2010</v>
      </c>
      <c r="H596" s="5"/>
      <c r="I596" s="5" t="s">
        <v>2011</v>
      </c>
      <c r="J596" s="7"/>
    </row>
    <row r="597" spans="1:10" ht="18" customHeight="1" x14ac:dyDescent="0.25">
      <c r="A597" s="8"/>
      <c r="B597" s="9">
        <v>541</v>
      </c>
      <c r="C597" s="6" t="str">
        <f>IFERROR(VLOOKUP(B597,[1]customers!$A:$B,2,0),"")</f>
        <v>Quality Fabrication</v>
      </c>
      <c r="D597" s="9" t="s">
        <v>2012</v>
      </c>
      <c r="E597" s="9" t="s">
        <v>2013</v>
      </c>
      <c r="F597" s="9"/>
      <c r="G597" s="9" t="s">
        <v>2014</v>
      </c>
      <c r="H597" s="9" t="s">
        <v>2015</v>
      </c>
      <c r="I597" s="9"/>
      <c r="J597" s="10"/>
    </row>
    <row r="598" spans="1:10" ht="18" customHeight="1" x14ac:dyDescent="0.25">
      <c r="A598" s="4"/>
      <c r="B598" s="5">
        <v>542</v>
      </c>
      <c r="C598" s="6" t="str">
        <f>IFERROR(VLOOKUP(B598,[1]customers!$A:$B,2,0),"")</f>
        <v>Quantum Metals</v>
      </c>
      <c r="D598" s="5" t="s">
        <v>2016</v>
      </c>
      <c r="E598" s="5" t="s">
        <v>2017</v>
      </c>
      <c r="F598" s="5"/>
      <c r="G598" s="5"/>
      <c r="H598" s="5" t="s">
        <v>2018</v>
      </c>
      <c r="I598" s="5"/>
      <c r="J598" s="7"/>
    </row>
    <row r="599" spans="1:10" ht="18" customHeight="1" x14ac:dyDescent="0.25">
      <c r="A599" s="8"/>
      <c r="B599" s="9">
        <v>543</v>
      </c>
      <c r="C599" s="6" t="str">
        <f>IFERROR(VLOOKUP(B599,[1]customers!$A:$B,2,0),"")</f>
        <v>Quest Specialty Products</v>
      </c>
      <c r="D599" s="9" t="s">
        <v>2019</v>
      </c>
      <c r="E599" s="9" t="s">
        <v>2020</v>
      </c>
      <c r="F599" s="9"/>
      <c r="G599" s="9" t="s">
        <v>2021</v>
      </c>
      <c r="H599" s="9"/>
      <c r="I599" s="9" t="s">
        <v>2022</v>
      </c>
      <c r="J599" s="10"/>
    </row>
    <row r="600" spans="1:10" ht="18" customHeight="1" x14ac:dyDescent="0.25">
      <c r="A600" s="4"/>
      <c r="B600" s="5">
        <v>545</v>
      </c>
      <c r="C600" s="6" t="str">
        <f>IFERROR(VLOOKUP(B600,[1]customers!$A:$B,2,0),"")</f>
        <v>R Shea Brewing</v>
      </c>
      <c r="D600" s="5" t="s">
        <v>2023</v>
      </c>
      <c r="E600" s="5" t="s">
        <v>2024</v>
      </c>
      <c r="F600" s="5"/>
      <c r="G600" s="5" t="s">
        <v>2025</v>
      </c>
      <c r="H600" s="5"/>
      <c r="I600" s="5"/>
      <c r="J600" s="7"/>
    </row>
    <row r="601" spans="1:10" ht="18" customHeight="1" x14ac:dyDescent="0.25">
      <c r="A601" s="4"/>
      <c r="B601" s="5">
        <v>548</v>
      </c>
      <c r="C601" s="6" t="str">
        <f>IFERROR(VLOOKUP(B601,[1]customers!$A:$B,2,0),"")</f>
        <v>Radici Plastics</v>
      </c>
      <c r="D601" s="5" t="s">
        <v>2026</v>
      </c>
      <c r="E601" s="5" t="s">
        <v>2027</v>
      </c>
      <c r="F601" s="5"/>
      <c r="G601" s="5" t="s">
        <v>2028</v>
      </c>
      <c r="H601" s="5"/>
      <c r="I601" s="5" t="s">
        <v>2029</v>
      </c>
      <c r="J601" s="7"/>
    </row>
    <row r="602" spans="1:10" ht="18" customHeight="1" x14ac:dyDescent="0.25">
      <c r="A602" s="8"/>
      <c r="B602" s="9">
        <v>548</v>
      </c>
      <c r="C602" s="6" t="str">
        <f>IFERROR(VLOOKUP(B602,[1]customers!$A:$B,2,0),"")</f>
        <v>Radici Plastics</v>
      </c>
      <c r="D602" s="9" t="s">
        <v>2026</v>
      </c>
      <c r="E602" s="9" t="s">
        <v>2030</v>
      </c>
      <c r="F602" s="9"/>
      <c r="G602" s="9" t="s">
        <v>2031</v>
      </c>
      <c r="H602" s="9"/>
      <c r="I602" s="9" t="s">
        <v>2029</v>
      </c>
      <c r="J602" s="10"/>
    </row>
    <row r="603" spans="1:10" ht="18" customHeight="1" x14ac:dyDescent="0.25">
      <c r="A603" s="4"/>
      <c r="B603" s="5">
        <v>548</v>
      </c>
      <c r="C603" s="6" t="str">
        <f>IFERROR(VLOOKUP(B603,[1]customers!$A:$B,2,0),"")</f>
        <v>Radici Plastics</v>
      </c>
      <c r="D603" s="5" t="s">
        <v>2026</v>
      </c>
      <c r="E603" s="5" t="s">
        <v>2032</v>
      </c>
      <c r="F603" s="5"/>
      <c r="G603" s="5" t="s">
        <v>2033</v>
      </c>
      <c r="H603" s="5" t="s">
        <v>2034</v>
      </c>
      <c r="I603" s="5" t="s">
        <v>2029</v>
      </c>
      <c r="J603" s="7"/>
    </row>
    <row r="604" spans="1:10" ht="18" customHeight="1" x14ac:dyDescent="0.25">
      <c r="A604" s="8"/>
      <c r="B604" s="9">
        <v>548</v>
      </c>
      <c r="C604" s="6" t="str">
        <f>IFERROR(VLOOKUP(B604,[1]customers!$A:$B,2,0),"")</f>
        <v>Radici Plastics</v>
      </c>
      <c r="D604" s="9" t="s">
        <v>2026</v>
      </c>
      <c r="E604" s="9" t="s">
        <v>2035</v>
      </c>
      <c r="F604" s="9"/>
      <c r="G604" s="9" t="s">
        <v>2036</v>
      </c>
      <c r="H604" s="9">
        <v>3304190421</v>
      </c>
      <c r="I604" s="9"/>
      <c r="J604" s="10"/>
    </row>
    <row r="605" spans="1:10" ht="18" customHeight="1" x14ac:dyDescent="0.25">
      <c r="A605" s="4"/>
      <c r="B605" s="5">
        <v>548</v>
      </c>
      <c r="C605" s="6" t="str">
        <f>IFERROR(VLOOKUP(B605,[1]customers!$A:$B,2,0),"")</f>
        <v>Radici Plastics</v>
      </c>
      <c r="D605" s="5" t="s">
        <v>2026</v>
      </c>
      <c r="E605" s="5" t="s">
        <v>2035</v>
      </c>
      <c r="F605" s="5"/>
      <c r="G605" s="5" t="s">
        <v>2037</v>
      </c>
      <c r="H605" s="5"/>
      <c r="I605" s="5" t="s">
        <v>2038</v>
      </c>
      <c r="J605" s="7"/>
    </row>
    <row r="606" spans="1:10" ht="18" customHeight="1" x14ac:dyDescent="0.25">
      <c r="A606" s="8"/>
      <c r="B606" s="9">
        <v>548</v>
      </c>
      <c r="C606" s="6" t="str">
        <f>IFERROR(VLOOKUP(B606,[1]customers!$A:$B,2,0),"")</f>
        <v>Radici Plastics</v>
      </c>
      <c r="D606" s="9" t="s">
        <v>2026</v>
      </c>
      <c r="E606" s="9" t="s">
        <v>2039</v>
      </c>
      <c r="F606" s="9"/>
      <c r="G606" s="9" t="s">
        <v>2040</v>
      </c>
      <c r="H606" s="9" t="s">
        <v>2041</v>
      </c>
      <c r="I606" s="9" t="s">
        <v>2042</v>
      </c>
      <c r="J606" s="10"/>
    </row>
    <row r="607" spans="1:10" ht="18" customHeight="1" x14ac:dyDescent="0.25">
      <c r="A607" s="4"/>
      <c r="B607" s="5">
        <v>548</v>
      </c>
      <c r="C607" s="6" t="str">
        <f>IFERROR(VLOOKUP(B607,[1]customers!$A:$B,2,0),"")</f>
        <v>Radici Plastics</v>
      </c>
      <c r="D607" s="5" t="s">
        <v>2026</v>
      </c>
      <c r="E607" s="5" t="s">
        <v>2043</v>
      </c>
      <c r="F607" s="5"/>
      <c r="G607" s="5" t="s">
        <v>2044</v>
      </c>
      <c r="H607" s="5"/>
      <c r="I607" s="5" t="s">
        <v>2045</v>
      </c>
      <c r="J607" s="7"/>
    </row>
    <row r="608" spans="1:10" ht="18" customHeight="1" x14ac:dyDescent="0.25">
      <c r="A608" s="8"/>
      <c r="B608" s="9">
        <v>549</v>
      </c>
      <c r="C608" s="6" t="str">
        <f>IFERROR(VLOOKUP(B608,[1]customers!$A:$B,2,0),"")</f>
        <v>Rafter Equipment Co</v>
      </c>
      <c r="D608" s="9" t="s">
        <v>2046</v>
      </c>
      <c r="E608" s="9" t="s">
        <v>2047</v>
      </c>
      <c r="F608" s="9"/>
      <c r="G608" s="9" t="s">
        <v>2048</v>
      </c>
      <c r="H608" s="9">
        <v>4404884840</v>
      </c>
      <c r="I608" s="9">
        <v>4403342011</v>
      </c>
      <c r="J608" s="10"/>
    </row>
    <row r="609" spans="1:10" ht="18" customHeight="1" x14ac:dyDescent="0.25">
      <c r="A609" s="4"/>
      <c r="B609" s="5">
        <v>550</v>
      </c>
      <c r="C609" s="6" t="str">
        <f>IFERROR(VLOOKUP(B609,[1]customers!$A:$B,2,0),"")</f>
        <v>Raging Wolf Solutions</v>
      </c>
      <c r="D609" s="5" t="s">
        <v>2049</v>
      </c>
      <c r="E609" s="5" t="s">
        <v>2050</v>
      </c>
      <c r="F609" s="5"/>
      <c r="G609" s="5" t="s">
        <v>2051</v>
      </c>
      <c r="H609" s="5"/>
      <c r="I609" s="5" t="s">
        <v>2052</v>
      </c>
      <c r="J609" s="7"/>
    </row>
    <row r="610" spans="1:10" ht="18" customHeight="1" x14ac:dyDescent="0.25">
      <c r="A610" s="8"/>
      <c r="B610" s="9">
        <v>553</v>
      </c>
      <c r="C610" s="6" t="str">
        <f>IFERROR(VLOOKUP(B610,[1]customers!$A:$B,2,0),"")</f>
        <v>Rapid Mold &amp; Machine</v>
      </c>
      <c r="D610" s="9" t="s">
        <v>2053</v>
      </c>
      <c r="E610" s="9" t="s">
        <v>2054</v>
      </c>
      <c r="F610" s="9"/>
      <c r="G610" s="9" t="s">
        <v>2055</v>
      </c>
      <c r="H610" s="9" t="s">
        <v>2056</v>
      </c>
      <c r="I610" s="9"/>
      <c r="J610" s="10"/>
    </row>
    <row r="611" spans="1:10" ht="18" customHeight="1" x14ac:dyDescent="0.25">
      <c r="A611" s="4"/>
      <c r="B611" s="5">
        <v>554</v>
      </c>
      <c r="C611" s="6" t="str">
        <f>IFERROR(VLOOKUP(B611,[1]customers!$A:$B,2,0),"")</f>
        <v>Rapid Products Group LLC</v>
      </c>
      <c r="D611" s="5" t="s">
        <v>2057</v>
      </c>
      <c r="E611" s="5" t="s">
        <v>2058</v>
      </c>
      <c r="F611" s="5"/>
      <c r="G611" s="5" t="s">
        <v>2059</v>
      </c>
      <c r="H611" s="5"/>
      <c r="I611" s="5" t="s">
        <v>2060</v>
      </c>
      <c r="J611" s="7"/>
    </row>
    <row r="612" spans="1:10" ht="18" customHeight="1" x14ac:dyDescent="0.25">
      <c r="A612" s="8"/>
      <c r="B612" s="9">
        <v>560</v>
      </c>
      <c r="C612" s="6" t="str">
        <f>IFERROR(VLOOKUP(B612,[1]customers!$A:$B,2,0),"")</f>
        <v>Regal Equipment</v>
      </c>
      <c r="D612" s="9" t="s">
        <v>2061</v>
      </c>
      <c r="E612" s="9" t="s">
        <v>2062</v>
      </c>
      <c r="F612" s="9"/>
      <c r="G612" s="9" t="s">
        <v>2063</v>
      </c>
      <c r="H612" s="9"/>
      <c r="I612" s="9" t="s">
        <v>2064</v>
      </c>
      <c r="J612" s="10"/>
    </row>
    <row r="613" spans="1:10" ht="18" customHeight="1" x14ac:dyDescent="0.25">
      <c r="A613" s="4"/>
      <c r="B613" s="5">
        <v>562</v>
      </c>
      <c r="C613" s="6" t="str">
        <f>IFERROR(VLOOKUP(B613,[1]customers!$A:$B,2,0),"")</f>
        <v>Resco Products Inc</v>
      </c>
      <c r="D613" s="5" t="s">
        <v>2065</v>
      </c>
      <c r="E613" s="5" t="s">
        <v>2066</v>
      </c>
      <c r="F613" s="5"/>
      <c r="G613" s="5" t="s">
        <v>2067</v>
      </c>
      <c r="H613" s="5"/>
      <c r="I613" s="5" t="s">
        <v>2068</v>
      </c>
      <c r="J613" s="7"/>
    </row>
    <row r="614" spans="1:10" ht="18" customHeight="1" x14ac:dyDescent="0.25">
      <c r="A614" s="8"/>
      <c r="B614" s="9">
        <v>562</v>
      </c>
      <c r="C614" s="6" t="str">
        <f>IFERROR(VLOOKUP(B614,[1]customers!$A:$B,2,0),"")</f>
        <v>Resco Products Inc</v>
      </c>
      <c r="D614" s="9" t="s">
        <v>2065</v>
      </c>
      <c r="E614" s="9" t="s">
        <v>2069</v>
      </c>
      <c r="F614" s="9"/>
      <c r="G614" s="9" t="s">
        <v>2070</v>
      </c>
      <c r="H614" s="9"/>
      <c r="I614" s="9" t="s">
        <v>2071</v>
      </c>
      <c r="J614" s="10"/>
    </row>
    <row r="615" spans="1:10" ht="18" customHeight="1" x14ac:dyDescent="0.25">
      <c r="A615" s="4"/>
      <c r="B615" s="5">
        <v>565</v>
      </c>
      <c r="C615" s="6" t="str">
        <f>IFERROR(VLOOKUP(B615,[1]customers!$A:$B,2,0),"")</f>
        <v>Ridge Tool Company</v>
      </c>
      <c r="D615" s="5" t="s">
        <v>2072</v>
      </c>
      <c r="E615" s="5" t="s">
        <v>2073</v>
      </c>
      <c r="F615" s="5"/>
      <c r="G615" s="5" t="s">
        <v>2074</v>
      </c>
      <c r="H615" s="5" t="s">
        <v>2075</v>
      </c>
      <c r="I615" s="5"/>
      <c r="J615" s="7"/>
    </row>
    <row r="616" spans="1:10" ht="18" customHeight="1" x14ac:dyDescent="0.25">
      <c r="A616" s="8"/>
      <c r="B616" s="9">
        <v>566</v>
      </c>
      <c r="C616" s="6" t="str">
        <f>IFERROR(VLOOKUP(B616,[1]customers!$A:$B,2,0),"")</f>
        <v>River Valley Paper Co.</v>
      </c>
      <c r="D616" s="9" t="s">
        <v>2076</v>
      </c>
      <c r="E616" s="9" t="s">
        <v>2077</v>
      </c>
      <c r="F616" s="9"/>
      <c r="G616" s="9" t="s">
        <v>2078</v>
      </c>
      <c r="H616" s="9"/>
      <c r="I616" s="9" t="s">
        <v>2079</v>
      </c>
      <c r="J616" s="10"/>
    </row>
    <row r="617" spans="1:10" ht="18" customHeight="1" x14ac:dyDescent="0.25">
      <c r="A617" s="4"/>
      <c r="B617" s="5">
        <v>566</v>
      </c>
      <c r="C617" s="6" t="str">
        <f>IFERROR(VLOOKUP(B617,[1]customers!$A:$B,2,0),"")</f>
        <v>River Valley Paper Co.</v>
      </c>
      <c r="D617" s="5" t="s">
        <v>2076</v>
      </c>
      <c r="E617" s="5" t="s">
        <v>2080</v>
      </c>
      <c r="F617" s="5"/>
      <c r="G617" s="5"/>
      <c r="H617" s="5"/>
      <c r="I617" s="5" t="s">
        <v>2081</v>
      </c>
      <c r="J617" s="7"/>
    </row>
    <row r="618" spans="1:10" ht="18" customHeight="1" x14ac:dyDescent="0.25">
      <c r="A618" s="8"/>
      <c r="B618" s="9">
        <v>567</v>
      </c>
      <c r="C618" s="6" t="str">
        <f>IFERROR(VLOOKUP(B618,[1]customers!$A:$B,2,0),"")</f>
        <v>Riverside Local Schools</v>
      </c>
      <c r="D618" s="9" t="s">
        <v>2082</v>
      </c>
      <c r="E618" s="9" t="s">
        <v>2083</v>
      </c>
      <c r="F618" s="9"/>
      <c r="G618" s="9" t="s">
        <v>2084</v>
      </c>
      <c r="H618" s="9"/>
      <c r="I618" s="9" t="s">
        <v>2085</v>
      </c>
      <c r="J618" s="10"/>
    </row>
    <row r="619" spans="1:10" ht="18" customHeight="1" x14ac:dyDescent="0.25">
      <c r="A619" s="4"/>
      <c r="B619" s="5">
        <v>568</v>
      </c>
      <c r="C619" s="6" t="str">
        <f>IFERROR(VLOOKUP(B619,[1]customers!$A:$B,2,0),"")</f>
        <v>RJ Martin Electric</v>
      </c>
      <c r="D619" s="5" t="s">
        <v>2086</v>
      </c>
      <c r="E619" s="5" t="s">
        <v>2087</v>
      </c>
      <c r="F619" s="5"/>
      <c r="G619" s="5" t="s">
        <v>2088</v>
      </c>
      <c r="H619" s="5"/>
      <c r="I619" s="5" t="s">
        <v>2089</v>
      </c>
      <c r="J619" s="7"/>
    </row>
    <row r="620" spans="1:10" ht="18" customHeight="1" x14ac:dyDescent="0.25">
      <c r="A620" s="8"/>
      <c r="B620" s="9">
        <v>568</v>
      </c>
      <c r="C620" s="6" t="str">
        <f>IFERROR(VLOOKUP(B620,[1]customers!$A:$B,2,0),"")</f>
        <v>RJ Martin Electric</v>
      </c>
      <c r="D620" s="9" t="s">
        <v>2086</v>
      </c>
      <c r="E620" s="9" t="s">
        <v>2090</v>
      </c>
      <c r="F620" s="9"/>
      <c r="G620" s="9" t="s">
        <v>2091</v>
      </c>
      <c r="H620" s="9" t="s">
        <v>2092</v>
      </c>
      <c r="I620" s="9" t="s">
        <v>2089</v>
      </c>
      <c r="J620" s="10"/>
    </row>
    <row r="621" spans="1:10" ht="18" customHeight="1" x14ac:dyDescent="0.25">
      <c r="A621" s="4"/>
      <c r="B621" s="5">
        <v>568</v>
      </c>
      <c r="C621" s="6" t="str">
        <f>IFERROR(VLOOKUP(B621,[1]customers!$A:$B,2,0),"")</f>
        <v>RJ Martin Electric</v>
      </c>
      <c r="D621" s="5" t="s">
        <v>2086</v>
      </c>
      <c r="E621" s="5" t="s">
        <v>2093</v>
      </c>
      <c r="F621" s="5"/>
      <c r="G621" s="5" t="s">
        <v>2094</v>
      </c>
      <c r="H621" s="5" t="s">
        <v>2095</v>
      </c>
      <c r="I621" s="5" t="s">
        <v>2096</v>
      </c>
      <c r="J621" s="7"/>
    </row>
    <row r="622" spans="1:10" ht="18" customHeight="1" x14ac:dyDescent="0.25">
      <c r="A622" s="8"/>
      <c r="B622" s="9">
        <v>568</v>
      </c>
      <c r="C622" s="6" t="str">
        <f>IFERROR(VLOOKUP(B622,[1]customers!$A:$B,2,0),"")</f>
        <v>RJ Martin Electric</v>
      </c>
      <c r="D622" s="9" t="s">
        <v>2086</v>
      </c>
      <c r="E622" s="9" t="s">
        <v>2097</v>
      </c>
      <c r="F622" s="9"/>
      <c r="G622" s="9" t="s">
        <v>2098</v>
      </c>
      <c r="H622" s="9" t="s">
        <v>2099</v>
      </c>
      <c r="I622" s="9"/>
      <c r="J622" s="10"/>
    </row>
    <row r="623" spans="1:10" ht="18" customHeight="1" x14ac:dyDescent="0.25">
      <c r="A623" s="4"/>
      <c r="B623" s="5">
        <v>572</v>
      </c>
      <c r="C623" s="6" t="str">
        <f>IFERROR(VLOOKUP(B623,[1]customers!$A:$B,2,0),"")</f>
        <v>Robert Ziada</v>
      </c>
      <c r="D623" s="5" t="s">
        <v>2100</v>
      </c>
      <c r="E623" s="5" t="s">
        <v>2100</v>
      </c>
      <c r="F623" s="5"/>
      <c r="G623" s="5" t="s">
        <v>2101</v>
      </c>
      <c r="H623" s="5" t="s">
        <v>2102</v>
      </c>
      <c r="I623" s="5" t="s">
        <v>2103</v>
      </c>
      <c r="J623" s="7"/>
    </row>
    <row r="624" spans="1:10" ht="18" customHeight="1" x14ac:dyDescent="0.25">
      <c r="A624" s="8"/>
      <c r="B624" s="9">
        <v>574</v>
      </c>
      <c r="C624" s="6" t="str">
        <f>IFERROR(VLOOKUP(B624,[1]customers!$A:$B,2,0),"")</f>
        <v>Robson Forensics</v>
      </c>
      <c r="D624" s="9" t="s">
        <v>2104</v>
      </c>
      <c r="E624" s="9" t="s">
        <v>2105</v>
      </c>
      <c r="F624" s="9"/>
      <c r="G624" s="9" t="s">
        <v>2106</v>
      </c>
      <c r="H624" s="9" t="s">
        <v>2107</v>
      </c>
      <c r="I624" s="9"/>
      <c r="J624" s="10"/>
    </row>
    <row r="625" spans="1:10" ht="18" customHeight="1" x14ac:dyDescent="0.25">
      <c r="A625" s="4"/>
      <c r="B625" s="5">
        <v>576</v>
      </c>
      <c r="C625" s="6" t="str">
        <f>IFERROR(VLOOKUP(B625,[1]customers!$A:$B,2,0),"")</f>
        <v>Roechling Automotive USA LLP</v>
      </c>
      <c r="D625" s="5" t="s">
        <v>2108</v>
      </c>
      <c r="E625" s="5" t="s">
        <v>2109</v>
      </c>
      <c r="F625" s="5"/>
      <c r="G625" s="5" t="s">
        <v>2110</v>
      </c>
      <c r="H625" s="5" t="s">
        <v>2111</v>
      </c>
      <c r="I625" s="5" t="s">
        <v>2112</v>
      </c>
      <c r="J625" s="7"/>
    </row>
    <row r="626" spans="1:10" ht="18" customHeight="1" x14ac:dyDescent="0.25">
      <c r="A626" s="8"/>
      <c r="B626" s="9">
        <v>577</v>
      </c>
      <c r="C626" s="6" t="str">
        <f>IFERROR(VLOOKUP(B626,[1]customers!$A:$B,2,0),"")</f>
        <v>Ronlen Industries Inc</v>
      </c>
      <c r="D626" s="9" t="s">
        <v>2113</v>
      </c>
      <c r="E626" s="9" t="s">
        <v>2114</v>
      </c>
      <c r="F626" s="9"/>
      <c r="G626" s="9" t="s">
        <v>2115</v>
      </c>
      <c r="H626" s="9"/>
      <c r="I626" s="9" t="s">
        <v>2116</v>
      </c>
      <c r="J626" s="10"/>
    </row>
    <row r="627" spans="1:10" ht="18" customHeight="1" x14ac:dyDescent="0.25">
      <c r="A627" s="4"/>
      <c r="B627" s="5">
        <v>577</v>
      </c>
      <c r="C627" s="6" t="str">
        <f>IFERROR(VLOOKUP(B627,[1]customers!$A:$B,2,0),"")</f>
        <v>Ronlen Industries Inc</v>
      </c>
      <c r="D627" s="5" t="s">
        <v>2113</v>
      </c>
      <c r="E627" s="5" t="s">
        <v>2114</v>
      </c>
      <c r="F627" s="5"/>
      <c r="G627" s="5" t="s">
        <v>2115</v>
      </c>
      <c r="H627" s="5"/>
      <c r="I627" s="5" t="s">
        <v>2116</v>
      </c>
      <c r="J627" s="7"/>
    </row>
    <row r="628" spans="1:10" ht="18" customHeight="1" x14ac:dyDescent="0.25">
      <c r="A628" s="8"/>
      <c r="B628" s="9">
        <v>577</v>
      </c>
      <c r="C628" s="6" t="str">
        <f>IFERROR(VLOOKUP(B628,[1]customers!$A:$B,2,0),"")</f>
        <v>Ronlen Industries Inc</v>
      </c>
      <c r="D628" s="9" t="s">
        <v>2113</v>
      </c>
      <c r="E628" s="9" t="s">
        <v>2117</v>
      </c>
      <c r="F628" s="9"/>
      <c r="G628" s="9" t="s">
        <v>2118</v>
      </c>
      <c r="H628" s="9"/>
      <c r="I628" s="9" t="s">
        <v>2116</v>
      </c>
      <c r="J628" s="10"/>
    </row>
    <row r="629" spans="1:10" ht="18" customHeight="1" x14ac:dyDescent="0.25">
      <c r="A629" s="4"/>
      <c r="B629" s="5">
        <v>577</v>
      </c>
      <c r="C629" s="6" t="str">
        <f>IFERROR(VLOOKUP(B629,[1]customers!$A:$B,2,0),"")</f>
        <v>Ronlen Industries Inc</v>
      </c>
      <c r="D629" s="5" t="s">
        <v>2113</v>
      </c>
      <c r="E629" s="5" t="s">
        <v>2119</v>
      </c>
      <c r="F629" s="5"/>
      <c r="G629" s="5" t="s">
        <v>2120</v>
      </c>
      <c r="H629" s="5" t="s">
        <v>2121</v>
      </c>
      <c r="I629" s="5"/>
      <c r="J629" s="7"/>
    </row>
    <row r="630" spans="1:10" ht="18" customHeight="1" x14ac:dyDescent="0.25">
      <c r="A630" s="8"/>
      <c r="B630" s="9">
        <v>578</v>
      </c>
      <c r="C630" s="6" t="str">
        <f>IFERROR(VLOOKUP(B630,[1]customers!$A:$B,2,0),"")</f>
        <v>Rosendin Electric</v>
      </c>
      <c r="D630" s="9" t="s">
        <v>2122</v>
      </c>
      <c r="E630" s="9" t="s">
        <v>2123</v>
      </c>
      <c r="F630" s="9"/>
      <c r="G630" s="9" t="s">
        <v>2124</v>
      </c>
      <c r="H630" s="9" t="s">
        <v>2125</v>
      </c>
      <c r="I630" s="9"/>
      <c r="J630" s="10"/>
    </row>
    <row r="631" spans="1:10" ht="18" customHeight="1" x14ac:dyDescent="0.25">
      <c r="A631" s="4"/>
      <c r="B631" s="5">
        <v>579</v>
      </c>
      <c r="C631" s="6" t="str">
        <f>IFERROR(VLOOKUP(B631,[1]customers!$A:$B,2,0),"")</f>
        <v>Ross Builders Co Inc</v>
      </c>
      <c r="D631" s="5" t="s">
        <v>2126</v>
      </c>
      <c r="E631" s="5" t="s">
        <v>2127</v>
      </c>
      <c r="F631" s="5"/>
      <c r="G631" s="5" t="s">
        <v>2128</v>
      </c>
      <c r="H631" s="5"/>
      <c r="I631" s="5" t="s">
        <v>2129</v>
      </c>
      <c r="J631" s="7"/>
    </row>
    <row r="632" spans="1:10" ht="18" customHeight="1" x14ac:dyDescent="0.25">
      <c r="A632" s="4"/>
      <c r="B632" s="5">
        <v>580</v>
      </c>
      <c r="C632" s="6" t="str">
        <f>IFERROR(VLOOKUP(B632,[1]customers!$A:$B,2,0),"")</f>
        <v>Rotary Tech</v>
      </c>
      <c r="D632" s="5" t="s">
        <v>2130</v>
      </c>
      <c r="E632" s="5" t="s">
        <v>2131</v>
      </c>
      <c r="F632" s="5"/>
      <c r="G632" s="5" t="s">
        <v>2132</v>
      </c>
      <c r="H632" s="5"/>
      <c r="I632" s="5" t="s">
        <v>2133</v>
      </c>
      <c r="J632" s="7"/>
    </row>
    <row r="633" spans="1:10" ht="18" customHeight="1" x14ac:dyDescent="0.25">
      <c r="A633" s="8"/>
      <c r="B633" s="9">
        <v>582</v>
      </c>
      <c r="C633" s="6" t="str">
        <f>IFERROR(VLOOKUP(B633,[1]customers!$A:$B,2,0),"")</f>
        <v>Rotocast Technologies Inc</v>
      </c>
      <c r="D633" s="9" t="s">
        <v>2134</v>
      </c>
      <c r="E633" s="9" t="s">
        <v>2135</v>
      </c>
      <c r="F633" s="9"/>
      <c r="G633" s="9" t="s">
        <v>2136</v>
      </c>
      <c r="H633" s="9"/>
      <c r="I633" s="9">
        <v>3306314968</v>
      </c>
      <c r="J633" s="10"/>
    </row>
    <row r="634" spans="1:10" ht="18" customHeight="1" x14ac:dyDescent="0.25">
      <c r="A634" s="4"/>
      <c r="B634" s="5">
        <v>583</v>
      </c>
      <c r="C634" s="6" t="str">
        <f>IFERROR(VLOOKUP(B634,[1]customers!$A:$B,2,0),"")</f>
        <v>Rotoline</v>
      </c>
      <c r="D634" s="5" t="s">
        <v>2137</v>
      </c>
      <c r="E634" s="5" t="s">
        <v>2138</v>
      </c>
      <c r="F634" s="5"/>
      <c r="G634" s="5" t="s">
        <v>2139</v>
      </c>
      <c r="H634" s="5"/>
      <c r="I634" s="5" t="s">
        <v>2140</v>
      </c>
      <c r="J634" s="7"/>
    </row>
    <row r="635" spans="1:10" ht="18" customHeight="1" x14ac:dyDescent="0.25">
      <c r="A635" s="8"/>
      <c r="B635" s="9">
        <v>585</v>
      </c>
      <c r="C635" s="6" t="str">
        <f>IFERROR(VLOOKUP(B635,[1]customers!$A:$B,2,0),"")</f>
        <v>RT Instruments</v>
      </c>
      <c r="D635" s="9" t="s">
        <v>2141</v>
      </c>
      <c r="E635" s="9" t="s">
        <v>2142</v>
      </c>
      <c r="F635" s="9"/>
      <c r="G635" s="9" t="s">
        <v>2143</v>
      </c>
      <c r="H635" s="9"/>
      <c r="I635" s="9" t="s">
        <v>2144</v>
      </c>
      <c r="J635" s="10"/>
    </row>
    <row r="636" spans="1:10" ht="18" customHeight="1" x14ac:dyDescent="0.25">
      <c r="A636" s="4"/>
      <c r="B636" s="5">
        <v>586</v>
      </c>
      <c r="C636" s="6" t="str">
        <f>IFERROR(VLOOKUP(B636,[1]customers!$A:$B,2,0),"")</f>
        <v>Rubber Associates</v>
      </c>
      <c r="D636" s="5" t="s">
        <v>2145</v>
      </c>
      <c r="E636" s="5" t="s">
        <v>2146</v>
      </c>
      <c r="F636" s="5"/>
      <c r="G636" s="5" t="s">
        <v>2147</v>
      </c>
      <c r="H636" s="5"/>
      <c r="I636" s="5" t="s">
        <v>2148</v>
      </c>
      <c r="J636" s="7"/>
    </row>
    <row r="637" spans="1:10" ht="18" customHeight="1" x14ac:dyDescent="0.25">
      <c r="A637" s="8"/>
      <c r="B637" s="9">
        <v>588</v>
      </c>
      <c r="C637" s="6" t="str">
        <f>IFERROR(VLOOKUP(B637,[1]customers!$A:$B,2,0),"")</f>
        <v>Rubicon Rubber</v>
      </c>
      <c r="D637" s="9" t="s">
        <v>2149</v>
      </c>
      <c r="E637" s="9" t="s">
        <v>2150</v>
      </c>
      <c r="F637" s="9"/>
      <c r="G637" s="9" t="s">
        <v>2151</v>
      </c>
      <c r="H637" s="9"/>
      <c r="I637" s="9" t="s">
        <v>2152</v>
      </c>
      <c r="J637" s="10"/>
    </row>
    <row r="638" spans="1:10" ht="18" customHeight="1" x14ac:dyDescent="0.25">
      <c r="A638" s="4"/>
      <c r="B638" s="5">
        <v>589</v>
      </c>
      <c r="C638" s="6" t="str">
        <f>IFERROR(VLOOKUP(B638,[1]customers!$A:$B,2,0),"")</f>
        <v>RW Beckett Corp</v>
      </c>
      <c r="D638" s="5" t="s">
        <v>2153</v>
      </c>
      <c r="E638" s="5" t="s">
        <v>2154</v>
      </c>
      <c r="F638" s="5"/>
      <c r="G638" s="5" t="s">
        <v>2155</v>
      </c>
      <c r="H638" s="5"/>
      <c r="I638" s="5" t="s">
        <v>2156</v>
      </c>
      <c r="J638" s="7"/>
    </row>
    <row r="639" spans="1:10" ht="18" customHeight="1" x14ac:dyDescent="0.25">
      <c r="A639" s="8"/>
      <c r="B639" s="9">
        <v>591</v>
      </c>
      <c r="C639" s="6" t="str">
        <f>IFERROR(VLOOKUP(B639,[1]customers!$A:$B,2,0),"")</f>
        <v>S&amp;A Industries</v>
      </c>
      <c r="D639" s="9" t="s">
        <v>2157</v>
      </c>
      <c r="E639" s="9" t="s">
        <v>118</v>
      </c>
      <c r="F639" s="9"/>
      <c r="G639" s="9" t="s">
        <v>119</v>
      </c>
      <c r="H639" s="9" t="s">
        <v>120</v>
      </c>
      <c r="I639" s="9" t="s">
        <v>2158</v>
      </c>
      <c r="J639" s="10"/>
    </row>
    <row r="640" spans="1:10" ht="18" customHeight="1" x14ac:dyDescent="0.25">
      <c r="A640" s="4"/>
      <c r="B640" s="5">
        <v>591</v>
      </c>
      <c r="C640" s="6" t="str">
        <f>IFERROR(VLOOKUP(B640,[1]customers!$A:$B,2,0),"")</f>
        <v>S&amp;A Industries</v>
      </c>
      <c r="D640" s="5" t="s">
        <v>2157</v>
      </c>
      <c r="E640" s="5" t="s">
        <v>2159</v>
      </c>
      <c r="F640" s="5"/>
      <c r="G640" s="5" t="s">
        <v>2160</v>
      </c>
      <c r="H640" s="5"/>
      <c r="I640" s="5" t="s">
        <v>2161</v>
      </c>
      <c r="J640" s="7"/>
    </row>
    <row r="641" spans="1:10" ht="18" customHeight="1" x14ac:dyDescent="0.25">
      <c r="A641" s="8"/>
      <c r="B641" s="9">
        <v>592</v>
      </c>
      <c r="C641" s="6" t="str">
        <f>IFERROR(VLOOKUP(B641,[1]customers!$A:$B,2,0),"")</f>
        <v>S&amp;M Machinery Sales, Inc</v>
      </c>
      <c r="D641" s="9" t="s">
        <v>2162</v>
      </c>
      <c r="E641" s="9" t="s">
        <v>2163</v>
      </c>
      <c r="F641" s="9"/>
      <c r="G641" s="9"/>
      <c r="H641" s="9">
        <v>5867551234</v>
      </c>
      <c r="I641" s="9"/>
      <c r="J641" s="10"/>
    </row>
    <row r="642" spans="1:10" ht="18" customHeight="1" x14ac:dyDescent="0.25">
      <c r="A642" s="4"/>
      <c r="B642" s="5">
        <v>594</v>
      </c>
      <c r="C642" s="6" t="str">
        <f>IFERROR(VLOOKUP(B642,[1]customers!$A:$B,2,0),"")</f>
        <v>S&amp;S Machine and Design</v>
      </c>
      <c r="D642" s="5" t="s">
        <v>2164</v>
      </c>
      <c r="E642" s="5" t="s">
        <v>2165</v>
      </c>
      <c r="F642" s="5"/>
      <c r="G642" s="5" t="s">
        <v>2166</v>
      </c>
      <c r="H642" s="5"/>
      <c r="I642" s="5" t="s">
        <v>2167</v>
      </c>
      <c r="J642" s="7"/>
    </row>
    <row r="643" spans="1:10" ht="18" customHeight="1" x14ac:dyDescent="0.25">
      <c r="A643" s="8"/>
      <c r="B643" s="9">
        <v>596</v>
      </c>
      <c r="C643" s="6" t="str">
        <f>IFERROR(VLOOKUP(B643,[1]customers!$A:$B,2,0),"")</f>
        <v>S&amp;S Packaging Products, Inc.</v>
      </c>
      <c r="D643" s="9" t="s">
        <v>2168</v>
      </c>
      <c r="E643" s="9" t="s">
        <v>2169</v>
      </c>
      <c r="F643" s="9"/>
      <c r="G643" s="9" t="s">
        <v>2170</v>
      </c>
      <c r="H643" s="9"/>
      <c r="I643" s="9" t="s">
        <v>2171</v>
      </c>
      <c r="J643" s="10"/>
    </row>
    <row r="644" spans="1:10" ht="18" customHeight="1" x14ac:dyDescent="0.25">
      <c r="A644" s="4"/>
      <c r="B644" s="5">
        <v>590</v>
      </c>
      <c r="C644" s="6" t="str">
        <f>IFERROR(VLOOKUP(B644,[1]customers!$A:$B,2,0),"")</f>
        <v>S A Comunale</v>
      </c>
      <c r="D644" s="5" t="s">
        <v>2172</v>
      </c>
      <c r="E644" s="5" t="s">
        <v>2173</v>
      </c>
      <c r="F644" s="5"/>
      <c r="G644" s="5"/>
      <c r="H644" s="5" t="s">
        <v>2174</v>
      </c>
      <c r="I644" s="5"/>
      <c r="J644" s="7"/>
    </row>
    <row r="645" spans="1:10" ht="18" customHeight="1" x14ac:dyDescent="0.25">
      <c r="A645" s="8"/>
      <c r="B645" s="9">
        <v>597</v>
      </c>
      <c r="C645" s="6" t="str">
        <f>IFERROR(VLOOKUP(B645,[1]customers!$A:$B,2,0),"")</f>
        <v>Safe Air Valve</v>
      </c>
      <c r="D645" s="9" t="s">
        <v>2175</v>
      </c>
      <c r="E645" s="9" t="s">
        <v>2176</v>
      </c>
      <c r="F645" s="9"/>
      <c r="G645" s="9" t="s">
        <v>2177</v>
      </c>
      <c r="H645" s="9"/>
      <c r="I645" s="9" t="s">
        <v>2178</v>
      </c>
      <c r="J645" s="10"/>
    </row>
    <row r="646" spans="1:10" ht="18" customHeight="1" x14ac:dyDescent="0.25">
      <c r="A646" s="4"/>
      <c r="B646" s="5">
        <v>598</v>
      </c>
      <c r="C646" s="6" t="str">
        <f>IFERROR(VLOOKUP(B646,[1]customers!$A:$B,2,0),"")</f>
        <v>Saint Gobain</v>
      </c>
      <c r="D646" s="5" t="s">
        <v>2179</v>
      </c>
      <c r="E646" s="5" t="s">
        <v>2180</v>
      </c>
      <c r="F646" s="5"/>
      <c r="G646" s="5" t="s">
        <v>2181</v>
      </c>
      <c r="H646" s="5"/>
      <c r="I646" s="5" t="s">
        <v>2182</v>
      </c>
      <c r="J646" s="7"/>
    </row>
    <row r="647" spans="1:10" ht="18" customHeight="1" x14ac:dyDescent="0.25">
      <c r="A647" s="8"/>
      <c r="B647" s="9">
        <v>598</v>
      </c>
      <c r="C647" s="6" t="str">
        <f>IFERROR(VLOOKUP(B647,[1]customers!$A:$B,2,0),"")</f>
        <v>Saint Gobain</v>
      </c>
      <c r="D647" s="9" t="s">
        <v>2179</v>
      </c>
      <c r="E647" s="9" t="s">
        <v>2183</v>
      </c>
      <c r="F647" s="9"/>
      <c r="G647" s="9" t="s">
        <v>2184</v>
      </c>
      <c r="H647" s="9"/>
      <c r="I647" s="9" t="s">
        <v>2185</v>
      </c>
      <c r="J647" s="10"/>
    </row>
    <row r="648" spans="1:10" ht="18" customHeight="1" x14ac:dyDescent="0.25">
      <c r="A648" s="4"/>
      <c r="B648" s="5">
        <v>598</v>
      </c>
      <c r="C648" s="6" t="str">
        <f>IFERROR(VLOOKUP(B648,[1]customers!$A:$B,2,0),"")</f>
        <v>Saint Gobain</v>
      </c>
      <c r="D648" s="5" t="s">
        <v>2179</v>
      </c>
      <c r="E648" s="5" t="s">
        <v>2186</v>
      </c>
      <c r="F648" s="5"/>
      <c r="G648" s="5" t="s">
        <v>2187</v>
      </c>
      <c r="H648" s="5"/>
      <c r="I648" s="5" t="s">
        <v>2188</v>
      </c>
      <c r="J648" s="7"/>
    </row>
    <row r="649" spans="1:10" ht="18" customHeight="1" x14ac:dyDescent="0.25">
      <c r="A649" s="8"/>
      <c r="B649" s="9">
        <v>599</v>
      </c>
      <c r="C649" s="6" t="str">
        <f>IFERROR(VLOOKUP(B649,[1]customers!$A:$B,2,0),"")</f>
        <v>Salem-Republic Rubber Co</v>
      </c>
      <c r="D649" s="9" t="s">
        <v>2189</v>
      </c>
      <c r="E649" s="9" t="s">
        <v>151</v>
      </c>
      <c r="F649" s="9"/>
      <c r="G649" s="9" t="s">
        <v>150</v>
      </c>
      <c r="H649" s="9" t="s">
        <v>152</v>
      </c>
      <c r="I649" s="9" t="s">
        <v>153</v>
      </c>
      <c r="J649" s="10"/>
    </row>
    <row r="650" spans="1:10" ht="18" customHeight="1" x14ac:dyDescent="0.25">
      <c r="A650" s="4"/>
      <c r="B650" s="5">
        <v>599</v>
      </c>
      <c r="C650" s="6" t="str">
        <f>IFERROR(VLOOKUP(B650,[1]customers!$A:$B,2,0),"")</f>
        <v>Salem-Republic Rubber Co</v>
      </c>
      <c r="D650" s="5" t="s">
        <v>2189</v>
      </c>
      <c r="E650" s="5" t="s">
        <v>151</v>
      </c>
      <c r="F650" s="5"/>
      <c r="G650" s="5" t="s">
        <v>150</v>
      </c>
      <c r="H650" s="5" t="s">
        <v>152</v>
      </c>
      <c r="I650" s="5" t="s">
        <v>153</v>
      </c>
      <c r="J650" s="7"/>
    </row>
    <row r="651" spans="1:10" ht="18" customHeight="1" x14ac:dyDescent="0.25">
      <c r="A651" s="8"/>
      <c r="B651" s="9">
        <v>601</v>
      </c>
      <c r="C651" s="6" t="str">
        <f>IFERROR(VLOOKUP(B651,[1]customers!$A:$B,2,0),"")</f>
        <v>Scherer Inc</v>
      </c>
      <c r="D651" s="9" t="s">
        <v>2190</v>
      </c>
      <c r="E651" s="9" t="s">
        <v>2191</v>
      </c>
      <c r="F651" s="9"/>
      <c r="G651" s="9" t="s">
        <v>2192</v>
      </c>
      <c r="H651" s="9"/>
      <c r="I651" s="9" t="s">
        <v>2193</v>
      </c>
      <c r="J651" s="10"/>
    </row>
    <row r="652" spans="1:10" ht="18" customHeight="1" x14ac:dyDescent="0.25">
      <c r="A652" s="4"/>
      <c r="B652" s="5">
        <v>602</v>
      </c>
      <c r="C652" s="6" t="str">
        <f>IFERROR(VLOOKUP(B652,[1]customers!$A:$B,2,0),"")</f>
        <v>Schlabach Printers LTD</v>
      </c>
      <c r="D652" s="5" t="s">
        <v>2194</v>
      </c>
      <c r="E652" s="5" t="s">
        <v>2195</v>
      </c>
      <c r="F652" s="5"/>
      <c r="G652" s="5" t="s">
        <v>2196</v>
      </c>
      <c r="H652" s="5"/>
      <c r="I652" s="5" t="s">
        <v>2197</v>
      </c>
      <c r="J652" s="7"/>
    </row>
    <row r="653" spans="1:10" ht="18" customHeight="1" x14ac:dyDescent="0.25">
      <c r="A653" s="8"/>
      <c r="B653" s="9">
        <v>602</v>
      </c>
      <c r="C653" s="6" t="str">
        <f>IFERROR(VLOOKUP(B653,[1]customers!$A:$B,2,0),"")</f>
        <v>Schlabach Printers LTD</v>
      </c>
      <c r="D653" s="9" t="s">
        <v>2194</v>
      </c>
      <c r="E653" s="9" t="s">
        <v>2195</v>
      </c>
      <c r="F653" s="9"/>
      <c r="G653" s="9" t="s">
        <v>2196</v>
      </c>
      <c r="H653" s="9"/>
      <c r="I653" s="9" t="s">
        <v>2197</v>
      </c>
      <c r="J653" s="10"/>
    </row>
    <row r="654" spans="1:10" ht="18" customHeight="1" x14ac:dyDescent="0.25">
      <c r="A654" s="4"/>
      <c r="B654" s="5">
        <v>603</v>
      </c>
      <c r="C654" s="6" t="str">
        <f>IFERROR(VLOOKUP(B654,[1]customers!$A:$B,2,0),"")</f>
        <v>Schneller Inc</v>
      </c>
      <c r="D654" s="5" t="s">
        <v>2198</v>
      </c>
      <c r="E654" s="5" t="s">
        <v>2199</v>
      </c>
      <c r="F654" s="5"/>
      <c r="G654" s="5" t="s">
        <v>2200</v>
      </c>
      <c r="H654" s="5" t="s">
        <v>2201</v>
      </c>
      <c r="I654" s="5" t="s">
        <v>2202</v>
      </c>
      <c r="J654" s="7"/>
    </row>
    <row r="655" spans="1:10" ht="18" customHeight="1" x14ac:dyDescent="0.25">
      <c r="A655" s="8"/>
      <c r="B655" s="9">
        <v>603</v>
      </c>
      <c r="C655" s="6" t="str">
        <f>IFERROR(VLOOKUP(B655,[1]customers!$A:$B,2,0),"")</f>
        <v>Schneller Inc</v>
      </c>
      <c r="D655" s="9" t="s">
        <v>2198</v>
      </c>
      <c r="E655" s="9" t="s">
        <v>2203</v>
      </c>
      <c r="F655" s="9"/>
      <c r="G655" s="9"/>
      <c r="H655" s="9" t="s">
        <v>2204</v>
      </c>
      <c r="I655" s="9"/>
      <c r="J655" s="10"/>
    </row>
    <row r="656" spans="1:10" ht="18" customHeight="1" x14ac:dyDescent="0.25">
      <c r="A656" s="4"/>
      <c r="B656" s="5">
        <v>604</v>
      </c>
      <c r="C656" s="6" t="str">
        <f>IFERROR(VLOOKUP(B656,[1]customers!$A:$B,2,0),"")</f>
        <v>Schott Metal Products Co</v>
      </c>
      <c r="D656" s="5" t="s">
        <v>2205</v>
      </c>
      <c r="E656" s="5" t="s">
        <v>2206</v>
      </c>
      <c r="F656" s="5"/>
      <c r="G656" s="5"/>
      <c r="H656" s="5" t="s">
        <v>2207</v>
      </c>
      <c r="I656" s="5">
        <v>3309312528</v>
      </c>
      <c r="J656" s="7"/>
    </row>
    <row r="657" spans="1:10" ht="18" customHeight="1" x14ac:dyDescent="0.25">
      <c r="A657" s="8"/>
      <c r="B657" s="9">
        <v>605</v>
      </c>
      <c r="C657" s="6" t="str">
        <f>IFERROR(VLOOKUP(B657,[1]customers!$A:$B,2,0),"")</f>
        <v>Schwebel Bread Company</v>
      </c>
      <c r="D657" s="9" t="s">
        <v>2208</v>
      </c>
      <c r="E657" s="9" t="s">
        <v>2209</v>
      </c>
      <c r="F657" s="9"/>
      <c r="G657" s="9" t="s">
        <v>2210</v>
      </c>
      <c r="H657" s="9" t="s">
        <v>2211</v>
      </c>
      <c r="I657" s="9"/>
      <c r="J657" s="10"/>
    </row>
    <row r="658" spans="1:10" ht="18" customHeight="1" x14ac:dyDescent="0.25">
      <c r="A658" s="4"/>
      <c r="B658" s="5">
        <v>605</v>
      </c>
      <c r="C658" s="6" t="str">
        <f>IFERROR(VLOOKUP(B658,[1]customers!$A:$B,2,0),"")</f>
        <v>Schwebel Bread Company</v>
      </c>
      <c r="D658" s="5" t="s">
        <v>2208</v>
      </c>
      <c r="E658" s="5" t="s">
        <v>2212</v>
      </c>
      <c r="F658" s="5"/>
      <c r="G658" s="5" t="s">
        <v>2213</v>
      </c>
      <c r="H658" s="5"/>
      <c r="I658" s="5" t="s">
        <v>2214</v>
      </c>
      <c r="J658" s="7"/>
    </row>
    <row r="659" spans="1:10" ht="18" customHeight="1" x14ac:dyDescent="0.25">
      <c r="A659" s="8"/>
      <c r="B659" s="9">
        <v>605</v>
      </c>
      <c r="C659" s="6" t="str">
        <f>IFERROR(VLOOKUP(B659,[1]customers!$A:$B,2,0),"")</f>
        <v>Schwebel Bread Company</v>
      </c>
      <c r="D659" s="9" t="s">
        <v>2208</v>
      </c>
      <c r="E659" s="9" t="s">
        <v>2215</v>
      </c>
      <c r="F659" s="9"/>
      <c r="G659" s="9" t="s">
        <v>2216</v>
      </c>
      <c r="H659" s="9" t="s">
        <v>1962</v>
      </c>
      <c r="I659" s="9"/>
      <c r="J659" s="10"/>
    </row>
    <row r="660" spans="1:10" ht="18" customHeight="1" x14ac:dyDescent="0.25">
      <c r="A660" s="4"/>
      <c r="B660" s="5">
        <v>605</v>
      </c>
      <c r="C660" s="6" t="str">
        <f>IFERROR(VLOOKUP(B660,[1]customers!$A:$B,2,0),"")</f>
        <v>Schwebel Bread Company</v>
      </c>
      <c r="D660" s="5" t="s">
        <v>2208</v>
      </c>
      <c r="E660" s="5" t="s">
        <v>2217</v>
      </c>
      <c r="F660" s="5"/>
      <c r="G660" s="5"/>
      <c r="H660" s="5"/>
      <c r="I660" s="5"/>
      <c r="J660" s="7"/>
    </row>
    <row r="661" spans="1:10" ht="18" customHeight="1" x14ac:dyDescent="0.25">
      <c r="A661" s="8"/>
      <c r="B661" s="9">
        <v>605</v>
      </c>
      <c r="C661" s="6" t="str">
        <f>IFERROR(VLOOKUP(B661,[1]customers!$A:$B,2,0),"")</f>
        <v>Schwebel Bread Company</v>
      </c>
      <c r="D661" s="9" t="s">
        <v>2208</v>
      </c>
      <c r="E661" s="9" t="s">
        <v>2218</v>
      </c>
      <c r="F661" s="9"/>
      <c r="G661" s="9" t="s">
        <v>2219</v>
      </c>
      <c r="H661" s="9"/>
      <c r="I661" s="9" t="s">
        <v>2220</v>
      </c>
      <c r="J661" s="10"/>
    </row>
    <row r="662" spans="1:10" ht="18" customHeight="1" x14ac:dyDescent="0.25">
      <c r="A662" s="4"/>
      <c r="B662" s="5">
        <v>605</v>
      </c>
      <c r="C662" s="6" t="str">
        <f>IFERROR(VLOOKUP(B662,[1]customers!$A:$B,2,0),"")</f>
        <v>Schwebel Bread Company</v>
      </c>
      <c r="D662" s="5" t="s">
        <v>2208</v>
      </c>
      <c r="E662" s="5" t="s">
        <v>2221</v>
      </c>
      <c r="F662" s="5"/>
      <c r="G662" s="5" t="s">
        <v>2222</v>
      </c>
      <c r="H662" s="5"/>
      <c r="I662" s="5" t="s">
        <v>1962</v>
      </c>
      <c r="J662" s="7"/>
    </row>
    <row r="663" spans="1:10" ht="18" customHeight="1" x14ac:dyDescent="0.25">
      <c r="A663" s="8"/>
      <c r="B663" s="9">
        <v>605</v>
      </c>
      <c r="C663" s="6" t="str">
        <f>IFERROR(VLOOKUP(B663,[1]customers!$A:$B,2,0),"")</f>
        <v>Schwebel Bread Company</v>
      </c>
      <c r="D663" s="9" t="s">
        <v>2208</v>
      </c>
      <c r="E663" s="9" t="s">
        <v>2223</v>
      </c>
      <c r="F663" s="9"/>
      <c r="G663" s="9"/>
      <c r="H663" s="9"/>
      <c r="I663" s="9"/>
      <c r="J663" s="10"/>
    </row>
    <row r="664" spans="1:10" ht="18" customHeight="1" x14ac:dyDescent="0.25">
      <c r="A664" s="4"/>
      <c r="B664" s="5">
        <v>605</v>
      </c>
      <c r="C664" s="6" t="str">
        <f>IFERROR(VLOOKUP(B664,[1]customers!$A:$B,2,0),"")</f>
        <v>Schwebel Bread Company</v>
      </c>
      <c r="D664" s="5" t="s">
        <v>2208</v>
      </c>
      <c r="E664" s="5" t="s">
        <v>2224</v>
      </c>
      <c r="F664" s="5"/>
      <c r="G664" s="5" t="s">
        <v>2225</v>
      </c>
      <c r="H664" s="5" t="s">
        <v>2226</v>
      </c>
      <c r="I664" s="5"/>
      <c r="J664" s="7"/>
    </row>
    <row r="665" spans="1:10" ht="18" customHeight="1" x14ac:dyDescent="0.25">
      <c r="A665" s="4"/>
      <c r="B665" s="5">
        <v>607</v>
      </c>
      <c r="C665" s="6" t="str">
        <f>IFERROR(VLOOKUP(B665,[1]customers!$A:$B,2,0),"")</f>
        <v>Scotchman Electric LLC</v>
      </c>
      <c r="D665" s="5" t="s">
        <v>2227</v>
      </c>
      <c r="E665" s="5" t="s">
        <v>2228</v>
      </c>
      <c r="F665" s="5"/>
      <c r="G665" s="5" t="s">
        <v>2229</v>
      </c>
      <c r="H665" s="5"/>
      <c r="I665" s="5">
        <v>3308420528</v>
      </c>
      <c r="J665" s="7"/>
    </row>
    <row r="666" spans="1:10" ht="18" customHeight="1" x14ac:dyDescent="0.25">
      <c r="A666" s="8"/>
      <c r="B666" s="9">
        <v>608</v>
      </c>
      <c r="C666" s="6" t="str">
        <f>IFERROR(VLOOKUP(B666,[1]customers!$A:$B,2,0),"")</f>
        <v>Screen Americas</v>
      </c>
      <c r="D666" s="9" t="s">
        <v>2230</v>
      </c>
      <c r="E666" s="9" t="s">
        <v>2231</v>
      </c>
      <c r="F666" s="9"/>
      <c r="G666" s="9" t="s">
        <v>2232</v>
      </c>
      <c r="H666" s="9"/>
      <c r="I666" s="9" t="s">
        <v>2233</v>
      </c>
      <c r="J666" s="10"/>
    </row>
    <row r="667" spans="1:10" ht="18" customHeight="1" x14ac:dyDescent="0.25">
      <c r="A667" s="4"/>
      <c r="B667" s="5">
        <v>610</v>
      </c>
      <c r="C667" s="6" t="str">
        <f>IFERROR(VLOOKUP(B667,[1]customers!$A:$B,2,0),"")</f>
        <v>Seal Company</v>
      </c>
      <c r="D667" s="5" t="s">
        <v>2234</v>
      </c>
      <c r="E667" s="5" t="s">
        <v>2235</v>
      </c>
      <c r="F667" s="5"/>
      <c r="G667" s="5" t="s">
        <v>2236</v>
      </c>
      <c r="H667" s="5"/>
      <c r="I667" s="5"/>
      <c r="J667" s="7"/>
    </row>
    <row r="668" spans="1:10" ht="18" customHeight="1" x14ac:dyDescent="0.25">
      <c r="A668" s="8"/>
      <c r="B668" s="9">
        <v>611</v>
      </c>
      <c r="C668" s="6" t="str">
        <f>IFERROR(VLOOKUP(B668,[1]customers!$A:$B,2,0),"")</f>
        <v>Seal Corp USA</v>
      </c>
      <c r="D668" s="9" t="s">
        <v>2237</v>
      </c>
      <c r="E668" s="9" t="s">
        <v>2238</v>
      </c>
      <c r="F668" s="9"/>
      <c r="G668" s="9" t="s">
        <v>2239</v>
      </c>
      <c r="H668" s="9"/>
      <c r="I668" s="9" t="s">
        <v>2240</v>
      </c>
      <c r="J668" s="10"/>
    </row>
    <row r="669" spans="1:10" ht="18" customHeight="1" x14ac:dyDescent="0.25">
      <c r="A669" s="4"/>
      <c r="B669" s="5">
        <v>612</v>
      </c>
      <c r="C669" s="6" t="str">
        <f>IFERROR(VLOOKUP(B669,[1]customers!$A:$B,2,0),"")</f>
        <v>Seco Machine</v>
      </c>
      <c r="D669" s="5" t="s">
        <v>2241</v>
      </c>
      <c r="E669" s="5" t="s">
        <v>2242</v>
      </c>
      <c r="F669" s="5"/>
      <c r="G669" s="5" t="s">
        <v>2243</v>
      </c>
      <c r="H669" s="5"/>
      <c r="I669" s="5" t="s">
        <v>2244</v>
      </c>
      <c r="J669" s="7"/>
    </row>
    <row r="670" spans="1:10" ht="18" customHeight="1" x14ac:dyDescent="0.25">
      <c r="A670" s="8"/>
      <c r="B670" s="9">
        <v>612</v>
      </c>
      <c r="C670" s="6" t="str">
        <f>IFERROR(VLOOKUP(B670,[1]customers!$A:$B,2,0),"")</f>
        <v>Seco Machine</v>
      </c>
      <c r="D670" s="9" t="s">
        <v>2241</v>
      </c>
      <c r="E670" s="9" t="s">
        <v>2245</v>
      </c>
      <c r="F670" s="9"/>
      <c r="G670" s="9" t="s">
        <v>2246</v>
      </c>
      <c r="H670" s="9" t="s">
        <v>2247</v>
      </c>
      <c r="I670" s="9"/>
      <c r="J670" s="10"/>
    </row>
    <row r="671" spans="1:10" ht="18" customHeight="1" x14ac:dyDescent="0.25">
      <c r="A671" s="4"/>
      <c r="B671" s="5">
        <v>612</v>
      </c>
      <c r="C671" s="6" t="str">
        <f>IFERROR(VLOOKUP(B671,[1]customers!$A:$B,2,0),"")</f>
        <v>Seco Machine</v>
      </c>
      <c r="D671" s="5" t="s">
        <v>2241</v>
      </c>
      <c r="E671" s="5" t="s">
        <v>2248</v>
      </c>
      <c r="F671" s="5"/>
      <c r="G671" s="5" t="s">
        <v>2249</v>
      </c>
      <c r="H671" s="5"/>
      <c r="I671" s="5" t="s">
        <v>2244</v>
      </c>
      <c r="J671" s="7"/>
    </row>
    <row r="672" spans="1:10" ht="18" customHeight="1" x14ac:dyDescent="0.25">
      <c r="A672" s="8"/>
      <c r="B672" s="9">
        <v>612</v>
      </c>
      <c r="C672" s="6" t="str">
        <f>IFERROR(VLOOKUP(B672,[1]customers!$A:$B,2,0),"")</f>
        <v>Seco Machine</v>
      </c>
      <c r="D672" s="9" t="s">
        <v>2241</v>
      </c>
      <c r="E672" s="9" t="s">
        <v>2248</v>
      </c>
      <c r="F672" s="9"/>
      <c r="G672" s="9" t="s">
        <v>2250</v>
      </c>
      <c r="H672" s="9"/>
      <c r="I672" s="9" t="s">
        <v>2251</v>
      </c>
      <c r="J672" s="10"/>
    </row>
    <row r="673" spans="1:10" ht="18" customHeight="1" x14ac:dyDescent="0.25">
      <c r="A673" s="4"/>
      <c r="B673" s="5">
        <v>612</v>
      </c>
      <c r="C673" s="6" t="str">
        <f>IFERROR(VLOOKUP(B673,[1]customers!$A:$B,2,0),"")</f>
        <v>Seco Machine</v>
      </c>
      <c r="D673" s="5" t="s">
        <v>2241</v>
      </c>
      <c r="E673" s="5" t="s">
        <v>2252</v>
      </c>
      <c r="F673" s="5"/>
      <c r="G673" s="5"/>
      <c r="H673" s="5" t="s">
        <v>2253</v>
      </c>
      <c r="I673" s="5"/>
      <c r="J673" s="7"/>
    </row>
    <row r="674" spans="1:10" ht="18" customHeight="1" x14ac:dyDescent="0.25">
      <c r="A674" s="8"/>
      <c r="B674" s="9">
        <v>612</v>
      </c>
      <c r="C674" s="6" t="str">
        <f>IFERROR(VLOOKUP(B674,[1]customers!$A:$B,2,0),"")</f>
        <v>Seco Machine</v>
      </c>
      <c r="D674" s="9" t="s">
        <v>2241</v>
      </c>
      <c r="E674" s="9" t="s">
        <v>2254</v>
      </c>
      <c r="F674" s="9"/>
      <c r="G674" s="9" t="s">
        <v>2255</v>
      </c>
      <c r="H674" s="9" t="s">
        <v>2256</v>
      </c>
      <c r="I674" s="9" t="s">
        <v>2256</v>
      </c>
      <c r="J674" s="10"/>
    </row>
    <row r="675" spans="1:10" ht="18" customHeight="1" x14ac:dyDescent="0.25">
      <c r="A675" s="4"/>
      <c r="B675" s="5">
        <v>615</v>
      </c>
      <c r="C675" s="6" t="str">
        <f>IFERROR(VLOOKUP(B675,[1]customers!$A:$B,2,0),"")</f>
        <v>SGB-USA</v>
      </c>
      <c r="D675" s="5" t="s">
        <v>2257</v>
      </c>
      <c r="E675" s="5" t="s">
        <v>2258</v>
      </c>
      <c r="F675" s="5"/>
      <c r="G675" s="5" t="s">
        <v>2259</v>
      </c>
      <c r="H675" s="5" t="s">
        <v>2260</v>
      </c>
      <c r="I675" s="5"/>
      <c r="J675" s="7"/>
    </row>
    <row r="676" spans="1:10" ht="18" customHeight="1" x14ac:dyDescent="0.25">
      <c r="A676" s="4"/>
      <c r="B676" s="5">
        <v>617</v>
      </c>
      <c r="C676" s="6" t="str">
        <f>IFERROR(VLOOKUP(B676,[1]customers!$A:$B,2,0),"")</f>
        <v>Shurtape Technologies LLC</v>
      </c>
      <c r="D676" s="5" t="s">
        <v>2261</v>
      </c>
      <c r="E676" s="5" t="s">
        <v>2262</v>
      </c>
      <c r="F676" s="5"/>
      <c r="G676" s="5" t="s">
        <v>2263</v>
      </c>
      <c r="H676" s="5" t="s">
        <v>2264</v>
      </c>
      <c r="I676" s="5"/>
      <c r="J676" s="7"/>
    </row>
    <row r="677" spans="1:10" ht="18" customHeight="1" x14ac:dyDescent="0.25">
      <c r="A677" s="8"/>
      <c r="B677" s="9">
        <v>620</v>
      </c>
      <c r="C677" s="6" t="str">
        <f>IFERROR(VLOOKUP(B677,[1]customers!$A:$B,2,0),"")</f>
        <v>Silver Lake Industrial</v>
      </c>
      <c r="D677" s="9" t="s">
        <v>2265</v>
      </c>
      <c r="E677" s="9" t="s">
        <v>2266</v>
      </c>
      <c r="F677" s="9"/>
      <c r="G677" s="9" t="s">
        <v>2267</v>
      </c>
      <c r="H677" s="9"/>
      <c r="I677" s="9" t="s">
        <v>2268</v>
      </c>
      <c r="J677" s="10"/>
    </row>
    <row r="678" spans="1:10" ht="18" customHeight="1" x14ac:dyDescent="0.25">
      <c r="A678" s="4"/>
      <c r="B678" s="5">
        <v>620</v>
      </c>
      <c r="C678" s="6" t="str">
        <f>IFERROR(VLOOKUP(B678,[1]customers!$A:$B,2,0),"")</f>
        <v>Silver Lake Industrial</v>
      </c>
      <c r="D678" s="5" t="s">
        <v>2265</v>
      </c>
      <c r="E678" s="5" t="s">
        <v>2269</v>
      </c>
      <c r="F678" s="5"/>
      <c r="G678" s="5" t="s">
        <v>2270</v>
      </c>
      <c r="H678" s="5" t="s">
        <v>2271</v>
      </c>
      <c r="I678" s="5"/>
      <c r="J678" s="7"/>
    </row>
    <row r="679" spans="1:10" ht="18" customHeight="1" x14ac:dyDescent="0.25">
      <c r="A679" s="4"/>
      <c r="B679" s="5">
        <v>623</v>
      </c>
      <c r="C679" s="6" t="str">
        <f>IFERROR(VLOOKUP(B679,[1]customers!$A:$B,2,0),"")</f>
        <v>Six Axis Solutions</v>
      </c>
      <c r="D679" s="5" t="s">
        <v>2272</v>
      </c>
      <c r="E679" s="5" t="s">
        <v>2273</v>
      </c>
      <c r="F679" s="5"/>
      <c r="G679" s="5" t="s">
        <v>2274</v>
      </c>
      <c r="H679" s="5"/>
      <c r="I679" s="5" t="s">
        <v>2275</v>
      </c>
      <c r="J679" s="7"/>
    </row>
    <row r="680" spans="1:10" ht="18" customHeight="1" x14ac:dyDescent="0.25">
      <c r="A680" s="8"/>
      <c r="B680" s="9">
        <v>625</v>
      </c>
      <c r="C680" s="6" t="str">
        <f>IFERROR(VLOOKUP(B680,[1]customers!$A:$B,2,0),"")</f>
        <v>Smith Machine</v>
      </c>
      <c r="D680" s="9" t="s">
        <v>2276</v>
      </c>
      <c r="E680" s="9" t="s">
        <v>2277</v>
      </c>
      <c r="F680" s="9"/>
      <c r="G680" s="9"/>
      <c r="H680" s="9"/>
      <c r="I680" s="9" t="s">
        <v>2278</v>
      </c>
      <c r="J680" s="10"/>
    </row>
    <row r="681" spans="1:10" ht="18" customHeight="1" x14ac:dyDescent="0.25">
      <c r="A681" s="4"/>
      <c r="B681" s="5">
        <v>625</v>
      </c>
      <c r="C681" s="6" t="str">
        <f>IFERROR(VLOOKUP(B681,[1]customers!$A:$B,2,0),"")</f>
        <v>Smith Machine</v>
      </c>
      <c r="D681" s="5" t="s">
        <v>2279</v>
      </c>
      <c r="E681" s="5" t="s">
        <v>2280</v>
      </c>
      <c r="F681" s="5"/>
      <c r="G681" s="5"/>
      <c r="H681" s="5"/>
      <c r="I681" s="5"/>
      <c r="J681" s="7"/>
    </row>
    <row r="682" spans="1:10" ht="18" customHeight="1" x14ac:dyDescent="0.25">
      <c r="A682" s="8"/>
      <c r="B682" s="9">
        <v>626</v>
      </c>
      <c r="C682" s="6" t="str">
        <f>IFERROR(VLOOKUP(B682,[1]customers!$A:$B,2,0),"")</f>
        <v>Smithers-Oasis North America</v>
      </c>
      <c r="D682" s="9" t="s">
        <v>2281</v>
      </c>
      <c r="E682" s="9" t="s">
        <v>2282</v>
      </c>
      <c r="F682" s="9"/>
      <c r="G682" s="9" t="s">
        <v>2283</v>
      </c>
      <c r="H682" s="9" t="s">
        <v>2284</v>
      </c>
      <c r="I682" s="9"/>
      <c r="J682" s="10"/>
    </row>
    <row r="683" spans="1:10" ht="18" customHeight="1" x14ac:dyDescent="0.25">
      <c r="A683" s="4"/>
      <c r="B683" s="5">
        <v>626</v>
      </c>
      <c r="C683" s="6" t="str">
        <f>IFERROR(VLOOKUP(B683,[1]customers!$A:$B,2,0),"")</f>
        <v>Smithers-Oasis North America</v>
      </c>
      <c r="D683" s="5" t="s">
        <v>2281</v>
      </c>
      <c r="E683" s="5" t="s">
        <v>2285</v>
      </c>
      <c r="F683" s="5"/>
      <c r="G683" s="5"/>
      <c r="H683" s="5"/>
      <c r="I683" s="5" t="s">
        <v>2286</v>
      </c>
      <c r="J683" s="7"/>
    </row>
    <row r="684" spans="1:10" ht="18" customHeight="1" x14ac:dyDescent="0.25">
      <c r="A684" s="8"/>
      <c r="B684" s="9">
        <v>629</v>
      </c>
      <c r="C684" s="6" t="str">
        <f>IFERROR(VLOOKUP(B684,[1]customers!$A:$B,2,0),"")</f>
        <v>Soberay &amp; Sons</v>
      </c>
      <c r="D684" s="9" t="s">
        <v>2287</v>
      </c>
      <c r="E684" s="9" t="s">
        <v>2288</v>
      </c>
      <c r="F684" s="9"/>
      <c r="G684" s="9"/>
      <c r="H684" s="9" t="s">
        <v>2289</v>
      </c>
      <c r="I684" s="9"/>
      <c r="J684" s="10"/>
    </row>
    <row r="685" spans="1:10" ht="18" customHeight="1" x14ac:dyDescent="0.25">
      <c r="A685" s="4"/>
      <c r="B685" s="5">
        <v>630</v>
      </c>
      <c r="C685" s="6" t="str">
        <f>IFERROR(VLOOKUP(B685,[1]customers!$A:$B,2,0),"")</f>
        <v>Solmet Tech</v>
      </c>
      <c r="D685" s="5" t="s">
        <v>2290</v>
      </c>
      <c r="E685" s="5" t="s">
        <v>2291</v>
      </c>
      <c r="F685" s="5"/>
      <c r="G685" s="5" t="s">
        <v>2292</v>
      </c>
      <c r="H685" s="5"/>
      <c r="I685" s="5" t="s">
        <v>577</v>
      </c>
      <c r="J685" s="7"/>
    </row>
    <row r="686" spans="1:10" ht="18" customHeight="1" x14ac:dyDescent="0.25">
      <c r="A686" s="8"/>
      <c r="B686" s="9">
        <v>630</v>
      </c>
      <c r="C686" s="6" t="str">
        <f>IFERROR(VLOOKUP(B686,[1]customers!$A:$B,2,0),"")</f>
        <v>Solmet Tech</v>
      </c>
      <c r="D686" s="9" t="s">
        <v>2290</v>
      </c>
      <c r="E686" s="9" t="s">
        <v>2293</v>
      </c>
      <c r="F686" s="9"/>
      <c r="G686" s="9" t="s">
        <v>2294</v>
      </c>
      <c r="H686" s="9" t="s">
        <v>2295</v>
      </c>
      <c r="I686" s="9" t="s">
        <v>2296</v>
      </c>
      <c r="J686" s="10"/>
    </row>
    <row r="687" spans="1:10" ht="18" customHeight="1" x14ac:dyDescent="0.25">
      <c r="A687" s="4"/>
      <c r="B687" s="5">
        <v>631</v>
      </c>
      <c r="C687" s="6" t="str">
        <f>IFERROR(VLOOKUP(B687,[1]customers!$A:$B,2,0),"")</f>
        <v>Solo Development</v>
      </c>
      <c r="D687" s="5" t="s">
        <v>2297</v>
      </c>
      <c r="E687" s="5" t="s">
        <v>2298</v>
      </c>
      <c r="F687" s="5"/>
      <c r="G687" s="5" t="s">
        <v>2299</v>
      </c>
      <c r="H687" s="5" t="s">
        <v>2300</v>
      </c>
      <c r="I687" s="5" t="s">
        <v>2301</v>
      </c>
      <c r="J687" s="7"/>
    </row>
    <row r="688" spans="1:10" ht="18" customHeight="1" x14ac:dyDescent="0.25">
      <c r="A688" s="8"/>
      <c r="B688" s="9">
        <v>632</v>
      </c>
      <c r="C688" s="6" t="str">
        <f>IFERROR(VLOOKUP(B688,[1]customers!$A:$B,2,0),"")</f>
        <v>Solugen</v>
      </c>
      <c r="D688" s="9" t="s">
        <v>2302</v>
      </c>
      <c r="E688" s="9" t="s">
        <v>2303</v>
      </c>
      <c r="F688" s="9"/>
      <c r="G688" s="9" t="s">
        <v>2304</v>
      </c>
      <c r="H688" s="9" t="s">
        <v>2305</v>
      </c>
      <c r="I688" s="9" t="s">
        <v>2306</v>
      </c>
      <c r="J688" s="10"/>
    </row>
    <row r="689" spans="1:10" ht="18" customHeight="1" x14ac:dyDescent="0.25">
      <c r="A689" s="4"/>
      <c r="B689" s="5">
        <v>633</v>
      </c>
      <c r="C689" s="6" t="str">
        <f>IFERROR(VLOOKUP(B689,[1]customers!$A:$B,2,0),"")</f>
        <v>Solution413</v>
      </c>
      <c r="D689" s="5" t="s">
        <v>2307</v>
      </c>
      <c r="E689" s="5" t="s">
        <v>2308</v>
      </c>
      <c r="F689" s="5"/>
      <c r="G689" s="5" t="s">
        <v>2309</v>
      </c>
      <c r="H689" s="5"/>
      <c r="I689" s="5"/>
      <c r="J689" s="7"/>
    </row>
    <row r="690" spans="1:10" ht="18" customHeight="1" x14ac:dyDescent="0.25">
      <c r="A690" s="8"/>
      <c r="B690" s="9">
        <v>635</v>
      </c>
      <c r="C690" s="6" t="str">
        <f>IFERROR(VLOOKUP(B690,[1]customers!$A:$B,2,0),"")</f>
        <v>SP PLUS</v>
      </c>
      <c r="D690" s="9" t="s">
        <v>2310</v>
      </c>
      <c r="E690" s="9" t="s">
        <v>2311</v>
      </c>
      <c r="F690" s="9"/>
      <c r="G690" s="9" t="s">
        <v>2312</v>
      </c>
      <c r="H690" s="9" t="s">
        <v>2313</v>
      </c>
      <c r="I690" s="9"/>
      <c r="J690" s="10"/>
    </row>
    <row r="691" spans="1:10" ht="18" customHeight="1" x14ac:dyDescent="0.25">
      <c r="A691" s="4"/>
      <c r="B691" s="5">
        <v>636</v>
      </c>
      <c r="C691" s="6" t="str">
        <f>IFERROR(VLOOKUP(B691,[1]customers!$A:$B,2,0),"")</f>
        <v>Spears Funeral Home</v>
      </c>
      <c r="D691" s="5" t="s">
        <v>2314</v>
      </c>
      <c r="E691" s="5" t="s">
        <v>2315</v>
      </c>
      <c r="F691" s="5"/>
      <c r="G691" s="5" t="s">
        <v>2316</v>
      </c>
      <c r="H691" s="5"/>
      <c r="I691" s="5" t="s">
        <v>2317</v>
      </c>
      <c r="J691" s="7"/>
    </row>
    <row r="692" spans="1:10" ht="18" customHeight="1" x14ac:dyDescent="0.25">
      <c r="A692" s="8"/>
      <c r="B692" s="9">
        <v>642</v>
      </c>
      <c r="C692" s="6" t="str">
        <f>IFERROR(VLOOKUP(B692,[1]customers!$A:$B,2,0),"")</f>
        <v>SRP Industries</v>
      </c>
      <c r="D692" s="9" t="s">
        <v>2318</v>
      </c>
      <c r="E692" s="9" t="s">
        <v>2319</v>
      </c>
      <c r="F692" s="9"/>
      <c r="G692" s="9" t="s">
        <v>2320</v>
      </c>
      <c r="H692" s="9"/>
      <c r="I692" s="9" t="s">
        <v>2321</v>
      </c>
      <c r="J692" s="10"/>
    </row>
    <row r="693" spans="1:10" ht="18" customHeight="1" x14ac:dyDescent="0.25">
      <c r="A693" s="4"/>
      <c r="B693" s="5">
        <v>644</v>
      </c>
      <c r="C693" s="6" t="str">
        <f>IFERROR(VLOOKUP(B693,[1]customers!$A:$B,2,0),"")</f>
        <v>St. Armands Baking Co</v>
      </c>
      <c r="D693" s="5" t="s">
        <v>2322</v>
      </c>
      <c r="E693" s="5" t="s">
        <v>2323</v>
      </c>
      <c r="F693" s="5"/>
      <c r="G693" s="5" t="s">
        <v>2324</v>
      </c>
      <c r="H693" s="5" t="s">
        <v>2325</v>
      </c>
      <c r="I693" s="5" t="s">
        <v>2326</v>
      </c>
      <c r="J693" s="7"/>
    </row>
    <row r="694" spans="1:10" ht="18" customHeight="1" x14ac:dyDescent="0.25">
      <c r="A694" s="8"/>
      <c r="B694" s="9">
        <v>598</v>
      </c>
      <c r="C694" s="6" t="str">
        <f>IFERROR(VLOOKUP(B694,[1]customers!$A:$B,2,0),"")</f>
        <v>Saint Gobain</v>
      </c>
      <c r="D694" s="9" t="s">
        <v>2327</v>
      </c>
      <c r="E694" s="9" t="s">
        <v>2183</v>
      </c>
      <c r="F694" s="9"/>
      <c r="G694" s="9" t="s">
        <v>2328</v>
      </c>
      <c r="H694" s="9"/>
      <c r="I694" s="9">
        <v>3302891580</v>
      </c>
      <c r="J694" s="10"/>
    </row>
    <row r="695" spans="1:10" ht="18" customHeight="1" x14ac:dyDescent="0.25">
      <c r="A695" s="4"/>
      <c r="B695" s="5">
        <v>598</v>
      </c>
      <c r="C695" s="6" t="str">
        <f>IFERROR(VLOOKUP(B695,[1]customers!$A:$B,2,0),"")</f>
        <v>Saint Gobain</v>
      </c>
      <c r="D695" s="5" t="s">
        <v>2327</v>
      </c>
      <c r="E695" s="5" t="s">
        <v>2329</v>
      </c>
      <c r="F695" s="5"/>
      <c r="G695" s="5" t="s">
        <v>2330</v>
      </c>
      <c r="H695" s="5"/>
      <c r="I695" s="5" t="s">
        <v>2331</v>
      </c>
      <c r="J695" s="7"/>
    </row>
    <row r="696" spans="1:10" ht="18" customHeight="1" x14ac:dyDescent="0.25">
      <c r="A696" s="8"/>
      <c r="B696" s="9">
        <v>598</v>
      </c>
      <c r="C696" s="6" t="str">
        <f>IFERROR(VLOOKUP(B696,[1]customers!$A:$B,2,0),"")</f>
        <v>Saint Gobain</v>
      </c>
      <c r="D696" s="9" t="s">
        <v>2327</v>
      </c>
      <c r="E696" s="9" t="s">
        <v>2332</v>
      </c>
      <c r="F696" s="9"/>
      <c r="G696" s="9" t="s">
        <v>2333</v>
      </c>
      <c r="H696" s="9"/>
      <c r="I696" s="9"/>
      <c r="J696" s="10"/>
    </row>
    <row r="697" spans="1:10" ht="18" customHeight="1" x14ac:dyDescent="0.25">
      <c r="A697" s="4"/>
      <c r="B697" s="5">
        <v>598</v>
      </c>
      <c r="C697" s="6" t="str">
        <f>IFERROR(VLOOKUP(B697,[1]customers!$A:$B,2,0),"")</f>
        <v>Saint Gobain</v>
      </c>
      <c r="D697" s="5" t="s">
        <v>2327</v>
      </c>
      <c r="E697" s="5" t="s">
        <v>2186</v>
      </c>
      <c r="F697" s="5"/>
      <c r="G697" s="5" t="s">
        <v>2334</v>
      </c>
      <c r="H697" s="5"/>
      <c r="I697" s="5" t="s">
        <v>2188</v>
      </c>
      <c r="J697" s="7"/>
    </row>
    <row r="698" spans="1:10" ht="18" customHeight="1" x14ac:dyDescent="0.25">
      <c r="A698" s="8"/>
      <c r="B698" s="9">
        <v>598</v>
      </c>
      <c r="C698" s="6" t="str">
        <f>IFERROR(VLOOKUP(B698,[1]customers!$A:$B,2,0),"")</f>
        <v>Saint Gobain</v>
      </c>
      <c r="D698" s="9" t="s">
        <v>2327</v>
      </c>
      <c r="E698" s="9" t="s">
        <v>2335</v>
      </c>
      <c r="F698" s="9"/>
      <c r="G698" s="9" t="s">
        <v>2336</v>
      </c>
      <c r="H698" s="9"/>
      <c r="I698" s="9"/>
      <c r="J698" s="10"/>
    </row>
    <row r="699" spans="1:10" ht="18" customHeight="1" x14ac:dyDescent="0.25">
      <c r="A699" s="4"/>
      <c r="B699" s="5">
        <v>598</v>
      </c>
      <c r="C699" s="6" t="str">
        <f>IFERROR(VLOOKUP(B699,[1]customers!$A:$B,2,0),"")</f>
        <v>Saint Gobain</v>
      </c>
      <c r="D699" s="5" t="s">
        <v>2327</v>
      </c>
      <c r="E699" s="5" t="s">
        <v>2337</v>
      </c>
      <c r="F699" s="5"/>
      <c r="G699" s="5" t="s">
        <v>2338</v>
      </c>
      <c r="H699" s="5"/>
      <c r="I699" s="5" t="s">
        <v>2339</v>
      </c>
      <c r="J699" s="7"/>
    </row>
    <row r="700" spans="1:10" ht="18" customHeight="1" x14ac:dyDescent="0.25">
      <c r="A700" s="8"/>
      <c r="B700" s="9">
        <v>598</v>
      </c>
      <c r="C700" s="6" t="str">
        <f>IFERROR(VLOOKUP(B700,[1]customers!$A:$B,2,0),"")</f>
        <v>Saint Gobain</v>
      </c>
      <c r="D700" s="9" t="s">
        <v>2327</v>
      </c>
      <c r="E700" s="9" t="s">
        <v>2340</v>
      </c>
      <c r="F700" s="9"/>
      <c r="G700" s="9" t="s">
        <v>2341</v>
      </c>
      <c r="H700" s="9"/>
      <c r="I700" s="9" t="s">
        <v>2342</v>
      </c>
      <c r="J700" s="10"/>
    </row>
    <row r="701" spans="1:10" ht="18" customHeight="1" x14ac:dyDescent="0.25">
      <c r="A701" s="4"/>
      <c r="B701" s="5">
        <v>598</v>
      </c>
      <c r="C701" s="6" t="str">
        <f>IFERROR(VLOOKUP(B701,[1]customers!$A:$B,2,0),"")</f>
        <v>Saint Gobain</v>
      </c>
      <c r="D701" s="5" t="s">
        <v>2327</v>
      </c>
      <c r="E701" s="5" t="s">
        <v>2343</v>
      </c>
      <c r="F701" s="5"/>
      <c r="G701" s="5"/>
      <c r="H701" s="5" t="s">
        <v>2344</v>
      </c>
      <c r="I701" s="5" t="s">
        <v>2344</v>
      </c>
      <c r="J701" s="7"/>
    </row>
    <row r="702" spans="1:10" ht="18" customHeight="1" x14ac:dyDescent="0.25">
      <c r="A702" s="8"/>
      <c r="B702" s="9">
        <v>645</v>
      </c>
      <c r="C702" s="6" t="str">
        <f>IFERROR(VLOOKUP(B702,[1]customers!$A:$B,2,0),"")</f>
        <v>Stamped Steel Products Inc</v>
      </c>
      <c r="D702" s="9" t="s">
        <v>2345</v>
      </c>
      <c r="E702" s="9" t="s">
        <v>2346</v>
      </c>
      <c r="F702" s="9"/>
      <c r="G702" s="9"/>
      <c r="H702" s="9"/>
      <c r="I702" s="9" t="s">
        <v>2347</v>
      </c>
      <c r="J702" s="10"/>
    </row>
    <row r="703" spans="1:10" ht="18" customHeight="1" x14ac:dyDescent="0.25">
      <c r="A703" s="4"/>
      <c r="B703" s="5">
        <v>645</v>
      </c>
      <c r="C703" s="6" t="str">
        <f>IFERROR(VLOOKUP(B703,[1]customers!$A:$B,2,0),"")</f>
        <v>Stamped Steel Products Inc</v>
      </c>
      <c r="D703" s="5" t="s">
        <v>2345</v>
      </c>
      <c r="E703" s="5" t="s">
        <v>2348</v>
      </c>
      <c r="F703" s="5"/>
      <c r="G703" s="5" t="s">
        <v>2349</v>
      </c>
      <c r="H703" s="5"/>
      <c r="I703" s="5" t="s">
        <v>2350</v>
      </c>
      <c r="J703" s="7"/>
    </row>
    <row r="704" spans="1:10" ht="18" customHeight="1" x14ac:dyDescent="0.25">
      <c r="A704" s="8"/>
      <c r="B704" s="9">
        <v>645</v>
      </c>
      <c r="C704" s="6" t="str">
        <f>IFERROR(VLOOKUP(B704,[1]customers!$A:$B,2,0),"")</f>
        <v>Stamped Steel Products Inc</v>
      </c>
      <c r="D704" s="9" t="s">
        <v>2345</v>
      </c>
      <c r="E704" s="9" t="s">
        <v>2351</v>
      </c>
      <c r="F704" s="9"/>
      <c r="G704" s="9" t="s">
        <v>2349</v>
      </c>
      <c r="H704" s="9"/>
      <c r="I704" s="9" t="s">
        <v>2350</v>
      </c>
      <c r="J704" s="10"/>
    </row>
    <row r="705" spans="1:10" ht="18" customHeight="1" x14ac:dyDescent="0.25">
      <c r="A705" s="4"/>
      <c r="B705" s="5">
        <v>646</v>
      </c>
      <c r="C705" s="6" t="str">
        <f>IFERROR(VLOOKUP(B705,[1]customers!$A:$B,2,0),"")</f>
        <v>Standard Arms Inc</v>
      </c>
      <c r="D705" s="5" t="s">
        <v>2352</v>
      </c>
      <c r="E705" s="5" t="s">
        <v>2353</v>
      </c>
      <c r="F705" s="5"/>
      <c r="G705" s="5" t="s">
        <v>2354</v>
      </c>
      <c r="H705" s="5"/>
      <c r="I705" s="5">
        <v>6143707205</v>
      </c>
      <c r="J705" s="7"/>
    </row>
    <row r="706" spans="1:10" ht="18" customHeight="1" x14ac:dyDescent="0.25">
      <c r="A706" s="8"/>
      <c r="B706" s="9">
        <v>648</v>
      </c>
      <c r="C706" s="6" t="str">
        <f>IFERROR(VLOOKUP(B706,[1]customers!$A:$B,2,0),"")</f>
        <v>Steere Enterprises</v>
      </c>
      <c r="D706" s="9" t="s">
        <v>2355</v>
      </c>
      <c r="E706" s="9" t="s">
        <v>2356</v>
      </c>
      <c r="F706" s="9"/>
      <c r="G706" s="9" t="s">
        <v>2357</v>
      </c>
      <c r="H706" s="9" t="s">
        <v>2358</v>
      </c>
      <c r="I706" s="9"/>
      <c r="J706" s="10"/>
    </row>
    <row r="707" spans="1:10" ht="18" customHeight="1" x14ac:dyDescent="0.25">
      <c r="A707" s="4"/>
      <c r="B707" s="5">
        <v>648</v>
      </c>
      <c r="C707" s="6" t="str">
        <f>IFERROR(VLOOKUP(B707,[1]customers!$A:$B,2,0),"")</f>
        <v>Steere Enterprises</v>
      </c>
      <c r="D707" s="5" t="s">
        <v>2355</v>
      </c>
      <c r="E707" s="5" t="s">
        <v>2359</v>
      </c>
      <c r="F707" s="5"/>
      <c r="G707" s="5" t="s">
        <v>2360</v>
      </c>
      <c r="H707" s="5"/>
      <c r="I707" s="5" t="s">
        <v>2361</v>
      </c>
      <c r="J707" s="7"/>
    </row>
    <row r="708" spans="1:10" ht="18" customHeight="1" x14ac:dyDescent="0.25">
      <c r="A708" s="8"/>
      <c r="B708" s="9">
        <v>648</v>
      </c>
      <c r="C708" s="6" t="str">
        <f>IFERROR(VLOOKUP(B708,[1]customers!$A:$B,2,0),"")</f>
        <v>Steere Enterprises</v>
      </c>
      <c r="D708" s="9" t="s">
        <v>2355</v>
      </c>
      <c r="E708" s="9" t="s">
        <v>2362</v>
      </c>
      <c r="F708" s="9"/>
      <c r="G708" s="9" t="s">
        <v>2363</v>
      </c>
      <c r="H708" s="9">
        <v>3306122481</v>
      </c>
      <c r="I708" s="9"/>
      <c r="J708" s="10"/>
    </row>
    <row r="709" spans="1:10" ht="18" customHeight="1" x14ac:dyDescent="0.25">
      <c r="A709" s="4"/>
      <c r="B709" s="5">
        <v>648</v>
      </c>
      <c r="C709" s="6" t="str">
        <f>IFERROR(VLOOKUP(B709,[1]customers!$A:$B,2,0),"")</f>
        <v>Steere Enterprises</v>
      </c>
      <c r="D709" s="5" t="s">
        <v>2364</v>
      </c>
      <c r="E709" s="5" t="s">
        <v>2365</v>
      </c>
      <c r="F709" s="5"/>
      <c r="G709" s="5" t="s">
        <v>2366</v>
      </c>
      <c r="H709" s="5" t="s">
        <v>2367</v>
      </c>
      <c r="I709" s="5" t="s">
        <v>2368</v>
      </c>
      <c r="J709" s="7"/>
    </row>
    <row r="710" spans="1:10" ht="18" customHeight="1" x14ac:dyDescent="0.25">
      <c r="A710" s="8"/>
      <c r="B710" s="9">
        <v>648</v>
      </c>
      <c r="C710" s="6" t="str">
        <f>IFERROR(VLOOKUP(B710,[1]customers!$A:$B,2,0),"")</f>
        <v>Steere Enterprises</v>
      </c>
      <c r="D710" s="9" t="s">
        <v>2364</v>
      </c>
      <c r="E710" s="9" t="s">
        <v>2369</v>
      </c>
      <c r="F710" s="9"/>
      <c r="G710" s="9" t="s">
        <v>2370</v>
      </c>
      <c r="H710" s="9" t="s">
        <v>2371</v>
      </c>
      <c r="I710" s="9" t="s">
        <v>2372</v>
      </c>
      <c r="J710" s="10"/>
    </row>
    <row r="711" spans="1:10" ht="18" customHeight="1" x14ac:dyDescent="0.25">
      <c r="A711" s="4"/>
      <c r="B711" s="5">
        <v>648</v>
      </c>
      <c r="C711" s="6" t="str">
        <f>IFERROR(VLOOKUP(B711,[1]customers!$A:$B,2,0),"")</f>
        <v>Steere Enterprises</v>
      </c>
      <c r="D711" s="5" t="s">
        <v>2364</v>
      </c>
      <c r="E711" s="5" t="s">
        <v>2373</v>
      </c>
      <c r="F711" s="5"/>
      <c r="G711" s="5"/>
      <c r="H711" s="5" t="s">
        <v>2374</v>
      </c>
      <c r="I711" s="5"/>
      <c r="J711" s="7"/>
    </row>
    <row r="712" spans="1:10" ht="18" customHeight="1" x14ac:dyDescent="0.25">
      <c r="A712" s="8"/>
      <c r="B712" s="9">
        <v>648</v>
      </c>
      <c r="C712" s="6" t="str">
        <f>IFERROR(VLOOKUP(B712,[1]customers!$A:$B,2,0),"")</f>
        <v>Steere Enterprises</v>
      </c>
      <c r="D712" s="9" t="s">
        <v>2364</v>
      </c>
      <c r="E712" s="9" t="s">
        <v>2375</v>
      </c>
      <c r="F712" s="9"/>
      <c r="G712" s="9" t="s">
        <v>2360</v>
      </c>
      <c r="H712" s="9" t="s">
        <v>2376</v>
      </c>
      <c r="I712" s="9" t="s">
        <v>2361</v>
      </c>
      <c r="J712" s="10"/>
    </row>
    <row r="713" spans="1:10" ht="18" customHeight="1" x14ac:dyDescent="0.25">
      <c r="A713" s="4"/>
      <c r="B713" s="5">
        <v>648</v>
      </c>
      <c r="C713" s="6" t="str">
        <f>IFERROR(VLOOKUP(B713,[1]customers!$A:$B,2,0),"")</f>
        <v>Steere Enterprises</v>
      </c>
      <c r="D713" s="5" t="s">
        <v>2364</v>
      </c>
      <c r="E713" s="5" t="s">
        <v>2377</v>
      </c>
      <c r="F713" s="5"/>
      <c r="G713" s="5" t="s">
        <v>2363</v>
      </c>
      <c r="H713" s="5" t="s">
        <v>2378</v>
      </c>
      <c r="I713" s="5" t="s">
        <v>2379</v>
      </c>
      <c r="J713" s="7"/>
    </row>
    <row r="714" spans="1:10" ht="18" customHeight="1" x14ac:dyDescent="0.25">
      <c r="A714" s="8"/>
      <c r="B714" s="9">
        <v>649</v>
      </c>
      <c r="C714" s="6" t="str">
        <f>IFERROR(VLOOKUP(B714,[1]customers!$A:$B,2,0),"")</f>
        <v>Step 2</v>
      </c>
      <c r="D714" s="9" t="s">
        <v>2380</v>
      </c>
      <c r="E714" s="9" t="s">
        <v>2381</v>
      </c>
      <c r="F714" s="9"/>
      <c r="G714" s="9" t="s">
        <v>2382</v>
      </c>
      <c r="H714" s="9" t="s">
        <v>2383</v>
      </c>
      <c r="I714" s="9"/>
      <c r="J714" s="10"/>
    </row>
    <row r="715" spans="1:10" ht="18" customHeight="1" x14ac:dyDescent="0.25">
      <c r="A715" s="4"/>
      <c r="B715" s="5">
        <v>649</v>
      </c>
      <c r="C715" s="6" t="str">
        <f>IFERROR(VLOOKUP(B715,[1]customers!$A:$B,2,0),"")</f>
        <v>Step 2</v>
      </c>
      <c r="D715" s="5" t="s">
        <v>2380</v>
      </c>
      <c r="E715" s="5" t="s">
        <v>2381</v>
      </c>
      <c r="F715" s="5"/>
      <c r="G715" s="5" t="s">
        <v>2382</v>
      </c>
      <c r="H715" s="5"/>
      <c r="I715" s="5" t="s">
        <v>2383</v>
      </c>
      <c r="J715" s="7"/>
    </row>
    <row r="716" spans="1:10" ht="18" customHeight="1" x14ac:dyDescent="0.25">
      <c r="A716" s="8"/>
      <c r="B716" s="9">
        <v>649</v>
      </c>
      <c r="C716" s="6" t="str">
        <f>IFERROR(VLOOKUP(B716,[1]customers!$A:$B,2,0),"")</f>
        <v>Step 2</v>
      </c>
      <c r="D716" s="9" t="s">
        <v>2380</v>
      </c>
      <c r="E716" s="9" t="s">
        <v>2384</v>
      </c>
      <c r="F716" s="9"/>
      <c r="G716" s="9" t="s">
        <v>2385</v>
      </c>
      <c r="H716" s="9" t="s">
        <v>2386</v>
      </c>
      <c r="I716" s="9" t="s">
        <v>2387</v>
      </c>
      <c r="J716" s="10"/>
    </row>
    <row r="717" spans="1:10" ht="18" customHeight="1" x14ac:dyDescent="0.25">
      <c r="A717" s="4"/>
      <c r="B717" s="5">
        <v>650</v>
      </c>
      <c r="C717" s="6" t="str">
        <f>IFERROR(VLOOKUP(B717,[1]customers!$A:$B,2,0),"")</f>
        <v>Steris Corporation</v>
      </c>
      <c r="D717" s="5" t="s">
        <v>2388</v>
      </c>
      <c r="E717" s="5" t="s">
        <v>2389</v>
      </c>
      <c r="F717" s="5"/>
      <c r="G717" s="5"/>
      <c r="H717" s="5"/>
      <c r="I717" s="5" t="s">
        <v>2390</v>
      </c>
      <c r="J717" s="7"/>
    </row>
    <row r="718" spans="1:10" ht="18" customHeight="1" x14ac:dyDescent="0.25">
      <c r="A718" s="8"/>
      <c r="B718" s="9">
        <v>650</v>
      </c>
      <c r="C718" s="6" t="str">
        <f>IFERROR(VLOOKUP(B718,[1]customers!$A:$B,2,0),"")</f>
        <v>Steris Corporation</v>
      </c>
      <c r="D718" s="9" t="s">
        <v>2388</v>
      </c>
      <c r="E718" s="9" t="s">
        <v>2391</v>
      </c>
      <c r="F718" s="9"/>
      <c r="G718" s="9" t="s">
        <v>2392</v>
      </c>
      <c r="H718" s="9"/>
      <c r="I718" s="9" t="s">
        <v>2393</v>
      </c>
      <c r="J718" s="10"/>
    </row>
    <row r="719" spans="1:10" ht="18" customHeight="1" x14ac:dyDescent="0.25">
      <c r="A719" s="4"/>
      <c r="B719" s="5">
        <v>652</v>
      </c>
      <c r="C719" s="6" t="str">
        <f>IFERROR(VLOOKUP(B719,[1]customers!$A:$B,2,0),"")</f>
        <v>StoreTek Engineering</v>
      </c>
      <c r="D719" s="5" t="s">
        <v>2394</v>
      </c>
      <c r="E719" s="5" t="s">
        <v>2395</v>
      </c>
      <c r="F719" s="5"/>
      <c r="G719" s="5" t="s">
        <v>2396</v>
      </c>
      <c r="H719" s="5"/>
      <c r="I719" s="5">
        <v>3302940678</v>
      </c>
      <c r="J719" s="7"/>
    </row>
    <row r="720" spans="1:10" ht="18" customHeight="1" x14ac:dyDescent="0.25">
      <c r="A720" s="8"/>
      <c r="B720" s="9">
        <v>652</v>
      </c>
      <c r="C720" s="6" t="str">
        <f>IFERROR(VLOOKUP(B720,[1]customers!$A:$B,2,0),"")</f>
        <v>StoreTek Engineering</v>
      </c>
      <c r="D720" s="9" t="s">
        <v>2394</v>
      </c>
      <c r="E720" s="9" t="s">
        <v>2397</v>
      </c>
      <c r="F720" s="9"/>
      <c r="G720" s="9" t="s">
        <v>2398</v>
      </c>
      <c r="H720" s="9"/>
      <c r="I720" s="9" t="s">
        <v>2399</v>
      </c>
      <c r="J720" s="10"/>
    </row>
    <row r="721" spans="1:10" ht="18" customHeight="1" x14ac:dyDescent="0.25">
      <c r="A721" s="4"/>
      <c r="B721" s="5">
        <v>653</v>
      </c>
      <c r="C721" s="6" t="str">
        <f>IFERROR(VLOOKUP(B721,[1]customers!$A:$B,2,0),"")</f>
        <v>Sullivan Industrial</v>
      </c>
      <c r="D721" s="5" t="s">
        <v>2400</v>
      </c>
      <c r="E721" s="5" t="s">
        <v>2401</v>
      </c>
      <c r="F721" s="5"/>
      <c r="G721" s="5" t="s">
        <v>2402</v>
      </c>
      <c r="H721" s="5"/>
      <c r="I721" s="5">
        <v>2033491700</v>
      </c>
      <c r="J721" s="7"/>
    </row>
    <row r="722" spans="1:10" ht="18" customHeight="1" x14ac:dyDescent="0.25">
      <c r="A722" s="8"/>
      <c r="B722" s="9">
        <v>654</v>
      </c>
      <c r="C722" s="6" t="str">
        <f>IFERROR(VLOOKUP(B722,[1]customers!$A:$B,2,0),"")</f>
        <v>Sumitomo Rubber USA, LLC</v>
      </c>
      <c r="D722" s="9" t="s">
        <v>2403</v>
      </c>
      <c r="E722" s="9" t="s">
        <v>2404</v>
      </c>
      <c r="F722" s="9"/>
      <c r="G722" s="9" t="s">
        <v>2405</v>
      </c>
      <c r="H722" s="9"/>
      <c r="I722" s="9" t="s">
        <v>2406</v>
      </c>
      <c r="J722" s="10"/>
    </row>
    <row r="723" spans="1:10" ht="18" customHeight="1" x14ac:dyDescent="0.25">
      <c r="A723" s="4"/>
      <c r="B723" s="5">
        <v>654</v>
      </c>
      <c r="C723" s="6" t="str">
        <f>IFERROR(VLOOKUP(B723,[1]customers!$A:$B,2,0),"")</f>
        <v>Sumitomo Rubber USA, LLC</v>
      </c>
      <c r="D723" s="5" t="s">
        <v>2403</v>
      </c>
      <c r="E723" s="5" t="s">
        <v>2404</v>
      </c>
      <c r="F723" s="5"/>
      <c r="G723" s="5" t="s">
        <v>2405</v>
      </c>
      <c r="H723" s="5"/>
      <c r="I723" s="5" t="s">
        <v>2406</v>
      </c>
      <c r="J723" s="7"/>
    </row>
    <row r="724" spans="1:10" ht="18" customHeight="1" x14ac:dyDescent="0.25">
      <c r="A724" s="8"/>
      <c r="B724" s="9">
        <v>654</v>
      </c>
      <c r="C724" s="6" t="str">
        <f>IFERROR(VLOOKUP(B724,[1]customers!$A:$B,2,0),"")</f>
        <v>Sumitomo Rubber USA, LLC</v>
      </c>
      <c r="D724" s="9" t="s">
        <v>2403</v>
      </c>
      <c r="E724" s="9" t="s">
        <v>2404</v>
      </c>
      <c r="F724" s="9"/>
      <c r="G724" s="9" t="s">
        <v>2405</v>
      </c>
      <c r="H724" s="9"/>
      <c r="I724" s="9" t="s">
        <v>2406</v>
      </c>
      <c r="J724" s="10"/>
    </row>
    <row r="725" spans="1:10" ht="18" customHeight="1" x14ac:dyDescent="0.25">
      <c r="A725" s="4"/>
      <c r="B725" s="5">
        <v>654</v>
      </c>
      <c r="C725" s="6" t="str">
        <f>IFERROR(VLOOKUP(B725,[1]customers!$A:$B,2,0),"")</f>
        <v>Sumitomo Rubber USA, LLC</v>
      </c>
      <c r="D725" s="5" t="s">
        <v>2403</v>
      </c>
      <c r="E725" s="5" t="s">
        <v>2407</v>
      </c>
      <c r="F725" s="5"/>
      <c r="G725" s="5" t="s">
        <v>2408</v>
      </c>
      <c r="H725" s="5" t="s">
        <v>2409</v>
      </c>
      <c r="I725" s="5" t="s">
        <v>2410</v>
      </c>
      <c r="J725" s="7"/>
    </row>
    <row r="726" spans="1:10" ht="18" customHeight="1" x14ac:dyDescent="0.25">
      <c r="A726" s="8"/>
      <c r="B726" s="9">
        <v>654</v>
      </c>
      <c r="C726" s="6" t="str">
        <f>IFERROR(VLOOKUP(B726,[1]customers!$A:$B,2,0),"")</f>
        <v>Sumitomo Rubber USA, LLC</v>
      </c>
      <c r="D726" s="9" t="s">
        <v>2403</v>
      </c>
      <c r="E726" s="9" t="s">
        <v>2411</v>
      </c>
      <c r="F726" s="9"/>
      <c r="G726" s="9" t="s">
        <v>2412</v>
      </c>
      <c r="H726" s="9" t="s">
        <v>2413</v>
      </c>
      <c r="I726" s="9" t="s">
        <v>2414</v>
      </c>
      <c r="J726" s="10"/>
    </row>
    <row r="727" spans="1:10" ht="18" customHeight="1" x14ac:dyDescent="0.25">
      <c r="A727" s="4"/>
      <c r="B727" s="5">
        <v>654</v>
      </c>
      <c r="C727" s="6" t="str">
        <f>IFERROR(VLOOKUP(B727,[1]customers!$A:$B,2,0),"")</f>
        <v>Sumitomo Rubber USA, LLC</v>
      </c>
      <c r="D727" s="5" t="s">
        <v>2403</v>
      </c>
      <c r="E727" s="5" t="s">
        <v>2415</v>
      </c>
      <c r="F727" s="5"/>
      <c r="G727" s="5" t="s">
        <v>2416</v>
      </c>
      <c r="H727" s="5"/>
      <c r="I727" s="5"/>
      <c r="J727" s="7"/>
    </row>
    <row r="728" spans="1:10" ht="18" customHeight="1" x14ac:dyDescent="0.25">
      <c r="A728" s="8"/>
      <c r="B728" s="9">
        <v>654</v>
      </c>
      <c r="C728" s="6" t="str">
        <f>IFERROR(VLOOKUP(B728,[1]customers!$A:$B,2,0),"")</f>
        <v>Sumitomo Rubber USA, LLC</v>
      </c>
      <c r="D728" s="9" t="s">
        <v>2403</v>
      </c>
      <c r="E728" s="9" t="s">
        <v>2417</v>
      </c>
      <c r="F728" s="9"/>
      <c r="G728" s="9"/>
      <c r="H728" s="9"/>
      <c r="I728" s="9">
        <v>7168798351</v>
      </c>
      <c r="J728" s="10"/>
    </row>
    <row r="729" spans="1:10" ht="18" customHeight="1" x14ac:dyDescent="0.25">
      <c r="A729" s="4"/>
      <c r="B729" s="5">
        <v>654</v>
      </c>
      <c r="C729" s="6" t="str">
        <f>IFERROR(VLOOKUP(B729,[1]customers!$A:$B,2,0),"")</f>
        <v>Sumitomo Rubber USA, LLC</v>
      </c>
      <c r="D729" s="5" t="s">
        <v>2403</v>
      </c>
      <c r="E729" s="5" t="s">
        <v>2418</v>
      </c>
      <c r="F729" s="5"/>
      <c r="G729" s="5" t="s">
        <v>2419</v>
      </c>
      <c r="H729" s="5" t="s">
        <v>2420</v>
      </c>
      <c r="I729" s="5" t="s">
        <v>2421</v>
      </c>
      <c r="J729" s="7"/>
    </row>
    <row r="730" spans="1:10" ht="18" customHeight="1" x14ac:dyDescent="0.25">
      <c r="A730" s="8"/>
      <c r="B730" s="9">
        <v>654</v>
      </c>
      <c r="C730" s="6" t="str">
        <f>IFERROR(VLOOKUP(B730,[1]customers!$A:$B,2,0),"")</f>
        <v>Sumitomo Rubber USA, LLC</v>
      </c>
      <c r="D730" s="9" t="s">
        <v>2403</v>
      </c>
      <c r="E730" s="9" t="s">
        <v>2422</v>
      </c>
      <c r="F730" s="9"/>
      <c r="G730" s="9" t="s">
        <v>2423</v>
      </c>
      <c r="H730" s="9" t="s">
        <v>2424</v>
      </c>
      <c r="I730" s="9" t="s">
        <v>2425</v>
      </c>
      <c r="J730" s="10"/>
    </row>
    <row r="731" spans="1:10" ht="18" customHeight="1" x14ac:dyDescent="0.25">
      <c r="A731" s="4"/>
      <c r="B731" s="5">
        <v>655</v>
      </c>
      <c r="C731" s="6" t="str">
        <f>IFERROR(VLOOKUP(B731,[1]customers!$A:$B,2,0),"")</f>
        <v>Summit Brands</v>
      </c>
      <c r="D731" s="5" t="s">
        <v>2426</v>
      </c>
      <c r="E731" s="5" t="s">
        <v>2427</v>
      </c>
      <c r="F731" s="5"/>
      <c r="G731" s="5" t="s">
        <v>2428</v>
      </c>
      <c r="H731" s="5"/>
      <c r="I731" s="5" t="s">
        <v>2429</v>
      </c>
      <c r="J731" s="7"/>
    </row>
    <row r="732" spans="1:10" ht="18" customHeight="1" x14ac:dyDescent="0.25">
      <c r="A732" s="8"/>
      <c r="B732" s="9">
        <v>656</v>
      </c>
      <c r="C732" s="6" t="str">
        <f>IFERROR(VLOOKUP(B732,[1]customers!$A:$B,2,0),"")</f>
        <v>Summit Missions International</v>
      </c>
      <c r="D732" s="9" t="s">
        <v>2430</v>
      </c>
      <c r="E732" s="9" t="s">
        <v>2431</v>
      </c>
      <c r="F732" s="9"/>
      <c r="G732" s="9" t="s">
        <v>2432</v>
      </c>
      <c r="H732" s="9" t="s">
        <v>2433</v>
      </c>
      <c r="I732" s="9" t="s">
        <v>2434</v>
      </c>
      <c r="J732" s="10"/>
    </row>
    <row r="733" spans="1:10" ht="18" customHeight="1" x14ac:dyDescent="0.25">
      <c r="A733" s="4"/>
      <c r="B733" s="5">
        <v>659</v>
      </c>
      <c r="C733" s="6" t="str">
        <f>IFERROR(VLOOKUP(B733,[1]customers!$A:$B,2,0),"")</f>
        <v>Surplus Liquidators</v>
      </c>
      <c r="D733" s="5" t="s">
        <v>2435</v>
      </c>
      <c r="E733" s="5" t="s">
        <v>2436</v>
      </c>
      <c r="F733" s="5"/>
      <c r="G733" s="5" t="s">
        <v>2437</v>
      </c>
      <c r="H733" s="5"/>
      <c r="I733" s="5" t="s">
        <v>2438</v>
      </c>
      <c r="J733" s="7"/>
    </row>
    <row r="734" spans="1:10" ht="18" customHeight="1" x14ac:dyDescent="0.25">
      <c r="A734" s="8"/>
      <c r="B734" s="9">
        <v>660</v>
      </c>
      <c r="C734" s="6" t="str">
        <f>IFERROR(VLOOKUP(B734,[1]customers!$A:$B,2,0),"")</f>
        <v>Survitec Group</v>
      </c>
      <c r="D734" s="9" t="s">
        <v>2439</v>
      </c>
      <c r="E734" s="9" t="s">
        <v>2440</v>
      </c>
      <c r="F734" s="9"/>
      <c r="G734" s="9" t="s">
        <v>2441</v>
      </c>
      <c r="H734" s="9"/>
      <c r="I734" s="9">
        <v>3305907464</v>
      </c>
      <c r="J734" s="10"/>
    </row>
    <row r="735" spans="1:10" ht="18" customHeight="1" x14ac:dyDescent="0.25">
      <c r="A735" s="4"/>
      <c r="B735" s="5">
        <v>661</v>
      </c>
      <c r="C735" s="6" t="str">
        <f>IFERROR(VLOOKUP(B735,[1]customers!$A:$B,2,0),"")</f>
        <v>Sutphen Towers Inc</v>
      </c>
      <c r="D735" s="5" t="s">
        <v>2442</v>
      </c>
      <c r="E735" s="5" t="s">
        <v>2443</v>
      </c>
      <c r="F735" s="5"/>
      <c r="G735" s="5" t="s">
        <v>2444</v>
      </c>
      <c r="H735" s="5" t="s">
        <v>2445</v>
      </c>
      <c r="I735" s="5" t="s">
        <v>2446</v>
      </c>
      <c r="J735" s="7"/>
    </row>
    <row r="736" spans="1:10" ht="18" customHeight="1" x14ac:dyDescent="0.25">
      <c r="A736" s="8"/>
      <c r="B736" s="9">
        <v>663</v>
      </c>
      <c r="C736" s="6" t="str">
        <f>IFERROR(VLOOKUP(B736,[1]customers!$A:$B,2,0),"")</f>
        <v>Tameran Graphic Systems Inc</v>
      </c>
      <c r="D736" s="9" t="s">
        <v>2447</v>
      </c>
      <c r="E736" s="9" t="s">
        <v>2448</v>
      </c>
      <c r="F736" s="9"/>
      <c r="G736" s="9" t="s">
        <v>2449</v>
      </c>
      <c r="H736" s="9" t="s">
        <v>2450</v>
      </c>
      <c r="I736" s="9"/>
      <c r="J736" s="10"/>
    </row>
    <row r="737" spans="1:10" ht="18" customHeight="1" x14ac:dyDescent="0.25">
      <c r="A737" s="4"/>
      <c r="B737" s="5">
        <v>664</v>
      </c>
      <c r="C737" s="6" t="str">
        <f>IFERROR(VLOOKUP(B737,[1]customers!$A:$B,2,0),"")</f>
        <v>Tarkett</v>
      </c>
      <c r="D737" s="5" t="s">
        <v>2451</v>
      </c>
      <c r="E737" s="5" t="s">
        <v>2452</v>
      </c>
      <c r="F737" s="5"/>
      <c r="G737" s="5" t="s">
        <v>2453</v>
      </c>
      <c r="H737" s="5" t="s">
        <v>2454</v>
      </c>
      <c r="I737" s="5" t="s">
        <v>2455</v>
      </c>
      <c r="J737" s="7"/>
    </row>
    <row r="738" spans="1:10" ht="18" customHeight="1" x14ac:dyDescent="0.25">
      <c r="A738" s="4"/>
      <c r="B738" s="5">
        <v>668</v>
      </c>
      <c r="C738" s="6" t="str">
        <f>IFERROR(VLOOKUP(B738,[1]customers!$A:$B,2,0),"")</f>
        <v>Tederic Smart Injection North America</v>
      </c>
      <c r="D738" s="5" t="s">
        <v>2456</v>
      </c>
      <c r="E738" s="5" t="s">
        <v>2457</v>
      </c>
      <c r="F738" s="5"/>
      <c r="G738" s="5" t="s">
        <v>2458</v>
      </c>
      <c r="H738" s="5"/>
      <c r="I738" s="5" t="s">
        <v>2459</v>
      </c>
      <c r="J738" s="7"/>
    </row>
    <row r="739" spans="1:10" ht="18" customHeight="1" x14ac:dyDescent="0.25">
      <c r="A739" s="8"/>
      <c r="B739" s="9">
        <v>670</v>
      </c>
      <c r="C739" s="6" t="str">
        <f>IFERROR(VLOOKUP(B739,[1]customers!$A:$B,2,0),"")</f>
        <v>Tex-Mex Recycling LLC</v>
      </c>
      <c r="D739" s="9" t="s">
        <v>2460</v>
      </c>
      <c r="E739" s="9" t="s">
        <v>2461</v>
      </c>
      <c r="F739" s="9"/>
      <c r="G739" s="9" t="s">
        <v>2462</v>
      </c>
      <c r="H739" s="9"/>
      <c r="I739" s="9" t="s">
        <v>2463</v>
      </c>
      <c r="J739" s="10"/>
    </row>
    <row r="740" spans="1:10" ht="18" customHeight="1" x14ac:dyDescent="0.25">
      <c r="A740" s="4"/>
      <c r="B740" s="5">
        <v>141</v>
      </c>
      <c r="C740" s="6" t="str">
        <f>IFERROR(VLOOKUP(B740,[1]customers!$A:$B,2,0),"")</f>
        <v>Cleveland Canvas Goods Mfg Co.</v>
      </c>
      <c r="D740" s="5" t="s">
        <v>2464</v>
      </c>
      <c r="E740" s="5" t="s">
        <v>2465</v>
      </c>
      <c r="F740" s="5"/>
      <c r="G740" s="5" t="s">
        <v>2466</v>
      </c>
      <c r="H740" s="5"/>
      <c r="I740" s="5">
        <v>2163614567</v>
      </c>
      <c r="J740" s="7"/>
    </row>
    <row r="741" spans="1:10" ht="18" customHeight="1" x14ac:dyDescent="0.25">
      <c r="A741" s="8"/>
      <c r="B741" s="9">
        <v>322</v>
      </c>
      <c r="C741" s="6" t="str">
        <f>IFERROR(VLOOKUP(B741,[1]customers!$A:$B,2,0),"")</f>
        <v>Hygenic Company, LLC</v>
      </c>
      <c r="D741" s="9" t="s">
        <v>2467</v>
      </c>
      <c r="E741" s="9" t="s">
        <v>1851</v>
      </c>
      <c r="F741" s="9"/>
      <c r="G741" s="9" t="s">
        <v>2468</v>
      </c>
      <c r="H741" s="9" t="s">
        <v>1286</v>
      </c>
      <c r="I741" s="9" t="s">
        <v>2469</v>
      </c>
      <c r="J741" s="10"/>
    </row>
    <row r="742" spans="1:10" ht="18" customHeight="1" x14ac:dyDescent="0.25">
      <c r="A742" s="4"/>
      <c r="B742" s="5">
        <v>360</v>
      </c>
      <c r="C742" s="6" t="str">
        <f>IFERROR(VLOOKUP(B742,[1]customers!$A:$B,2,0),"")</f>
        <v>K Company</v>
      </c>
      <c r="D742" s="5" t="s">
        <v>2470</v>
      </c>
      <c r="E742" s="5" t="s">
        <v>2471</v>
      </c>
      <c r="F742" s="5"/>
      <c r="G742" s="5"/>
      <c r="H742" s="5" t="s">
        <v>2472</v>
      </c>
      <c r="I742" s="5"/>
      <c r="J742" s="7"/>
    </row>
    <row r="743" spans="1:10" ht="18" customHeight="1" x14ac:dyDescent="0.25">
      <c r="A743" s="8"/>
      <c r="B743" s="9">
        <v>386</v>
      </c>
      <c r="C743" s="6" t="str">
        <f>IFERROR(VLOOKUP(B743,[1]customers!$A:$B,2,0),"")</f>
        <v>Lanly Company</v>
      </c>
      <c r="D743" s="9" t="s">
        <v>2473</v>
      </c>
      <c r="E743" s="9" t="s">
        <v>2474</v>
      </c>
      <c r="F743" s="9"/>
      <c r="G743" s="9" t="s">
        <v>2475</v>
      </c>
      <c r="H743" s="9"/>
      <c r="I743" s="9" t="s">
        <v>2476</v>
      </c>
      <c r="J743" s="10"/>
    </row>
    <row r="744" spans="1:10" ht="18" customHeight="1" x14ac:dyDescent="0.25">
      <c r="A744" s="4"/>
      <c r="B744" s="5">
        <v>600</v>
      </c>
      <c r="C744" s="6" t="str">
        <f>IFERROR(VLOOKUP(B744,[1]customers!$A:$B,2,0),"")</f>
        <v>Schaefer Group</v>
      </c>
      <c r="D744" s="5" t="s">
        <v>2477</v>
      </c>
      <c r="E744" s="5" t="s">
        <v>2478</v>
      </c>
      <c r="F744" s="5"/>
      <c r="G744" s="5" t="s">
        <v>2479</v>
      </c>
      <c r="H744" s="5">
        <v>9372533342</v>
      </c>
      <c r="I744" s="5"/>
      <c r="J744" s="7"/>
    </row>
    <row r="745" spans="1:10" ht="18" customHeight="1" x14ac:dyDescent="0.25">
      <c r="A745" s="8"/>
      <c r="B745" s="9">
        <v>672</v>
      </c>
      <c r="C745" s="6" t="str">
        <f>IFERROR(VLOOKUP(B745,[1]customers!$A:$B,2,0),"")</f>
        <v>Thermo-Rite</v>
      </c>
      <c r="D745" s="9" t="s">
        <v>2480</v>
      </c>
      <c r="E745" s="9" t="s">
        <v>2481</v>
      </c>
      <c r="F745" s="9"/>
      <c r="G745" s="9"/>
      <c r="H745" s="9" t="s">
        <v>2482</v>
      </c>
      <c r="I745" s="9"/>
      <c r="J745" s="10"/>
    </row>
    <row r="746" spans="1:10" ht="18" customHeight="1" x14ac:dyDescent="0.25">
      <c r="A746" s="4"/>
      <c r="B746" s="5">
        <v>676</v>
      </c>
      <c r="C746" s="6" t="str">
        <f>IFERROR(VLOOKUP(B746,[1]customers!$A:$B,2,0),"")</f>
        <v>Thrive Line LLC</v>
      </c>
      <c r="D746" s="5" t="s">
        <v>2483</v>
      </c>
      <c r="E746" s="5" t="s">
        <v>2484</v>
      </c>
      <c r="F746" s="5"/>
      <c r="G746" s="5" t="s">
        <v>2485</v>
      </c>
      <c r="H746" s="5"/>
      <c r="I746" s="5" t="s">
        <v>2486</v>
      </c>
      <c r="J746" s="7"/>
    </row>
    <row r="747" spans="1:10" ht="18" customHeight="1" x14ac:dyDescent="0.25">
      <c r="A747" s="8"/>
      <c r="B747" s="9">
        <v>678</v>
      </c>
      <c r="C747" s="6" t="str">
        <f>IFERROR(VLOOKUP(B747,[1]customers!$A:$B,2,0),"")</f>
        <v>TKM Printing Solutions</v>
      </c>
      <c r="D747" s="9" t="s">
        <v>2487</v>
      </c>
      <c r="E747" s="9" t="s">
        <v>2488</v>
      </c>
      <c r="F747" s="9"/>
      <c r="G747" s="9" t="s">
        <v>2489</v>
      </c>
      <c r="H747" s="9"/>
      <c r="I747" s="9" t="s">
        <v>2490</v>
      </c>
      <c r="J747" s="10"/>
    </row>
    <row r="748" spans="1:10" ht="18" customHeight="1" x14ac:dyDescent="0.25">
      <c r="A748" s="8"/>
      <c r="B748" s="9">
        <v>682</v>
      </c>
      <c r="C748" s="6" t="str">
        <f>IFERROR(VLOOKUP(B748,[1]customers!$A:$B,2,0),"")</f>
        <v>Towanda Metadyne, Inc</v>
      </c>
      <c r="D748" s="9" t="s">
        <v>2491</v>
      </c>
      <c r="E748" s="9" t="s">
        <v>2492</v>
      </c>
      <c r="F748" s="9"/>
      <c r="G748" s="9" t="s">
        <v>2493</v>
      </c>
      <c r="H748" s="9"/>
      <c r="I748" s="9" t="s">
        <v>2494</v>
      </c>
      <c r="J748" s="10"/>
    </row>
    <row r="749" spans="1:10" ht="18" customHeight="1" x14ac:dyDescent="0.25">
      <c r="A749" s="4"/>
      <c r="B749" s="5">
        <v>685</v>
      </c>
      <c r="C749" s="6" t="str">
        <f>IFERROR(VLOOKUP(B749,[1]customers!$A:$B,2,0),"")</f>
        <v>TPE Solutions, Inc</v>
      </c>
      <c r="D749" s="5" t="s">
        <v>2495</v>
      </c>
      <c r="E749" s="5" t="s">
        <v>2496</v>
      </c>
      <c r="F749" s="5"/>
      <c r="G749" s="5" t="s">
        <v>2497</v>
      </c>
      <c r="H749" s="5"/>
      <c r="I749" s="5" t="s">
        <v>2498</v>
      </c>
      <c r="J749" s="7"/>
    </row>
    <row r="750" spans="1:10" ht="18" customHeight="1" x14ac:dyDescent="0.25">
      <c r="A750" s="8"/>
      <c r="B750" s="9">
        <v>689</v>
      </c>
      <c r="C750" s="6" t="str">
        <f>IFERROR(VLOOKUP(B750,[1]customers!$A:$B,2,0),"")</f>
        <v>Tri-Valley Logistics</v>
      </c>
      <c r="D750" s="9" t="s">
        <v>2499</v>
      </c>
      <c r="E750" s="9" t="s">
        <v>2500</v>
      </c>
      <c r="F750" s="9"/>
      <c r="G750" s="9" t="s">
        <v>2501</v>
      </c>
      <c r="H750" s="9"/>
      <c r="I750" s="9" t="s">
        <v>2502</v>
      </c>
      <c r="J750" s="10"/>
    </row>
    <row r="751" spans="1:10" ht="18" customHeight="1" x14ac:dyDescent="0.25">
      <c r="A751" s="4"/>
      <c r="B751" s="5">
        <v>691</v>
      </c>
      <c r="C751" s="6" t="str">
        <f>IFERROR(VLOOKUP(B751,[1]customers!$A:$B,2,0),"")</f>
        <v>Tristan Rubber</v>
      </c>
      <c r="D751" s="5" t="s">
        <v>2503</v>
      </c>
      <c r="E751" s="5" t="s">
        <v>2504</v>
      </c>
      <c r="F751" s="5"/>
      <c r="G751" s="5" t="s">
        <v>2505</v>
      </c>
      <c r="H751" s="5"/>
      <c r="I751" s="5" t="s">
        <v>2506</v>
      </c>
      <c r="J751" s="7"/>
    </row>
    <row r="752" spans="1:10" ht="18" customHeight="1" x14ac:dyDescent="0.25">
      <c r="A752" s="4"/>
      <c r="B752" s="5">
        <v>694</v>
      </c>
      <c r="C752" s="6" t="str">
        <f>IFERROR(VLOOKUP(B752,[1]customers!$A:$B,2,0),"")</f>
        <v>UltraTech</v>
      </c>
      <c r="D752" s="5" t="s">
        <v>2507</v>
      </c>
      <c r="E752" s="5" t="s">
        <v>2508</v>
      </c>
      <c r="F752" s="5"/>
      <c r="G752" s="5" t="s">
        <v>2509</v>
      </c>
      <c r="H752" s="5"/>
      <c r="I752" s="5" t="s">
        <v>2510</v>
      </c>
      <c r="J752" s="7"/>
    </row>
    <row r="753" spans="1:10" ht="18" customHeight="1" x14ac:dyDescent="0.25">
      <c r="A753" s="8"/>
      <c r="B753" s="9">
        <v>695</v>
      </c>
      <c r="C753" s="6" t="str">
        <f>IFERROR(VLOOKUP(B753,[1]customers!$A:$B,2,0),"")</f>
        <v>Union Confectionery Machinery</v>
      </c>
      <c r="D753" s="9" t="s">
        <v>2511</v>
      </c>
      <c r="E753" s="9" t="s">
        <v>2512</v>
      </c>
      <c r="F753" s="9"/>
      <c r="G753" s="9" t="s">
        <v>2513</v>
      </c>
      <c r="H753" s="9"/>
      <c r="I753" s="9" t="s">
        <v>2514</v>
      </c>
      <c r="J753" s="10"/>
    </row>
    <row r="754" spans="1:10" ht="18" customHeight="1" x14ac:dyDescent="0.25">
      <c r="A754" s="4"/>
      <c r="B754" s="5">
        <v>696</v>
      </c>
      <c r="C754" s="6" t="str">
        <f>IFERROR(VLOOKUP(B754,[1]customers!$A:$B,2,0),"")</f>
        <v>United Centerless Grinding</v>
      </c>
      <c r="D754" s="5" t="s">
        <v>2515</v>
      </c>
      <c r="E754" s="5" t="s">
        <v>2516</v>
      </c>
      <c r="F754" s="5"/>
      <c r="G754" s="5" t="s">
        <v>2517</v>
      </c>
      <c r="H754" s="5" t="s">
        <v>2518</v>
      </c>
      <c r="I754" s="5"/>
      <c r="J754" s="7"/>
    </row>
    <row r="755" spans="1:10" ht="18" customHeight="1" x14ac:dyDescent="0.25">
      <c r="A755" s="8"/>
      <c r="B755" s="9">
        <v>697</v>
      </c>
      <c r="C755" s="6" t="str">
        <f>IFERROR(VLOOKUP(B755,[1]customers!$A:$B,2,0),"")</f>
        <v>United Feed Screw LTD</v>
      </c>
      <c r="D755" s="9" t="s">
        <v>2519</v>
      </c>
      <c r="E755" s="9" t="s">
        <v>2520</v>
      </c>
      <c r="F755" s="9"/>
      <c r="G755" s="9" t="s">
        <v>2521</v>
      </c>
      <c r="H755" s="9"/>
      <c r="I755" s="9" t="s">
        <v>2522</v>
      </c>
      <c r="J755" s="10"/>
    </row>
    <row r="756" spans="1:10" ht="18" customHeight="1" x14ac:dyDescent="0.25">
      <c r="A756" s="4"/>
      <c r="B756" s="5">
        <v>697</v>
      </c>
      <c r="C756" s="6" t="str">
        <f>IFERROR(VLOOKUP(B756,[1]customers!$A:$B,2,0),"")</f>
        <v>United Feed Screw LTD</v>
      </c>
      <c r="D756" s="5" t="s">
        <v>2519</v>
      </c>
      <c r="E756" s="5" t="s">
        <v>2523</v>
      </c>
      <c r="F756" s="5"/>
      <c r="G756" s="5" t="s">
        <v>2524</v>
      </c>
      <c r="H756" s="5" t="s">
        <v>2525</v>
      </c>
      <c r="I756" s="5"/>
      <c r="J756" s="7"/>
    </row>
    <row r="757" spans="1:10" ht="18" customHeight="1" x14ac:dyDescent="0.25">
      <c r="A757" s="8"/>
      <c r="B757" s="9">
        <v>697</v>
      </c>
      <c r="C757" s="6" t="str">
        <f>IFERROR(VLOOKUP(B757,[1]customers!$A:$B,2,0),"")</f>
        <v>United Feed Screw LTD</v>
      </c>
      <c r="D757" s="9" t="s">
        <v>2519</v>
      </c>
      <c r="E757" s="9" t="s">
        <v>2526</v>
      </c>
      <c r="F757" s="9"/>
      <c r="G757" s="9"/>
      <c r="H757" s="9" t="s">
        <v>2527</v>
      </c>
      <c r="I757" s="9"/>
      <c r="J757" s="10"/>
    </row>
    <row r="758" spans="1:10" ht="18" customHeight="1" x14ac:dyDescent="0.25">
      <c r="A758" s="4"/>
      <c r="B758" s="5">
        <v>697</v>
      </c>
      <c r="C758" s="6" t="str">
        <f>IFERROR(VLOOKUP(B758,[1]customers!$A:$B,2,0),"")</f>
        <v>United Feed Screw LTD</v>
      </c>
      <c r="D758" s="5" t="s">
        <v>2519</v>
      </c>
      <c r="E758" s="5" t="s">
        <v>2452</v>
      </c>
      <c r="F758" s="5"/>
      <c r="G758" s="5" t="s">
        <v>2528</v>
      </c>
      <c r="H758" s="5" t="s">
        <v>2454</v>
      </c>
      <c r="I758" s="5"/>
      <c r="J758" s="7"/>
    </row>
    <row r="759" spans="1:10" ht="18" customHeight="1" x14ac:dyDescent="0.25">
      <c r="A759" s="8"/>
      <c r="B759" s="9">
        <v>697</v>
      </c>
      <c r="C759" s="6" t="str">
        <f>IFERROR(VLOOKUP(B759,[1]customers!$A:$B,2,0),"")</f>
        <v>United Feed Screw LTD</v>
      </c>
      <c r="D759" s="9" t="s">
        <v>2519</v>
      </c>
      <c r="E759" s="9" t="s">
        <v>2452</v>
      </c>
      <c r="F759" s="9"/>
      <c r="G759" s="9" t="s">
        <v>2453</v>
      </c>
      <c r="H759" s="9" t="s">
        <v>2454</v>
      </c>
      <c r="I759" s="9" t="s">
        <v>2455</v>
      </c>
      <c r="J759" s="10"/>
    </row>
    <row r="760" spans="1:10" ht="18" customHeight="1" x14ac:dyDescent="0.25">
      <c r="A760" s="4"/>
      <c r="B760" s="5">
        <v>698</v>
      </c>
      <c r="C760" s="6" t="str">
        <f>IFERROR(VLOOKUP(B760,[1]customers!$A:$B,2,0),"")</f>
        <v>United Solutions Leominster</v>
      </c>
      <c r="D760" s="5" t="s">
        <v>2529</v>
      </c>
      <c r="E760" s="5" t="s">
        <v>2530</v>
      </c>
      <c r="F760" s="5"/>
      <c r="G760" s="5" t="s">
        <v>2531</v>
      </c>
      <c r="H760" s="5"/>
      <c r="I760" s="5" t="s">
        <v>2532</v>
      </c>
      <c r="J760" s="7"/>
    </row>
    <row r="761" spans="1:10" ht="18" customHeight="1" x14ac:dyDescent="0.25">
      <c r="A761" s="8"/>
      <c r="B761" s="9">
        <v>699</v>
      </c>
      <c r="C761" s="6" t="str">
        <f>IFERROR(VLOOKUP(B761,[1]customers!$A:$B,2,0),"")</f>
        <v>Universal Tire Molds INc</v>
      </c>
      <c r="D761" s="9" t="s">
        <v>2533</v>
      </c>
      <c r="E761" s="9" t="s">
        <v>2534</v>
      </c>
      <c r="F761" s="9"/>
      <c r="G761" s="9" t="s">
        <v>2535</v>
      </c>
      <c r="H761" s="9"/>
      <c r="I761" s="9" t="s">
        <v>2536</v>
      </c>
      <c r="J761" s="10"/>
    </row>
    <row r="762" spans="1:10" ht="18" customHeight="1" x14ac:dyDescent="0.25">
      <c r="A762" s="4"/>
      <c r="B762" s="5">
        <v>699</v>
      </c>
      <c r="C762" s="6" t="str">
        <f>IFERROR(VLOOKUP(B762,[1]customers!$A:$B,2,0),"")</f>
        <v>Universal Tire Molds INc</v>
      </c>
      <c r="D762" s="5" t="s">
        <v>2533</v>
      </c>
      <c r="E762" s="5" t="s">
        <v>2537</v>
      </c>
      <c r="F762" s="5"/>
      <c r="G762" s="5"/>
      <c r="H762" s="5" t="s">
        <v>2538</v>
      </c>
      <c r="I762" s="5"/>
      <c r="J762" s="7"/>
    </row>
    <row r="763" spans="1:10" ht="18" customHeight="1" x14ac:dyDescent="0.25">
      <c r="A763" s="4"/>
      <c r="B763" s="5">
        <v>700</v>
      </c>
      <c r="C763" s="6" t="str">
        <f>IFERROR(VLOOKUP(B763,[1]customers!$A:$B,2,0),"")</f>
        <v>University of Akron</v>
      </c>
      <c r="D763" s="5" t="s">
        <v>2539</v>
      </c>
      <c r="E763" s="5" t="s">
        <v>2540</v>
      </c>
      <c r="F763" s="5"/>
      <c r="G763" s="5" t="s">
        <v>2541</v>
      </c>
      <c r="H763" s="5"/>
      <c r="I763" s="5" t="s">
        <v>2542</v>
      </c>
      <c r="J763" s="7"/>
    </row>
    <row r="764" spans="1:10" ht="18" customHeight="1" x14ac:dyDescent="0.25">
      <c r="A764" s="8"/>
      <c r="B764" s="9">
        <v>701</v>
      </c>
      <c r="C764" s="6" t="str">
        <f>IFERROR(VLOOKUP(B764,[1]customers!$A:$B,2,0),"")</f>
        <v>USA Rolls</v>
      </c>
      <c r="D764" s="9" t="s">
        <v>2543</v>
      </c>
      <c r="E764" s="9" t="s">
        <v>2544</v>
      </c>
      <c r="F764" s="9"/>
      <c r="G764" s="9" t="s">
        <v>2545</v>
      </c>
      <c r="H764" s="9"/>
      <c r="I764" s="9" t="s">
        <v>2546</v>
      </c>
      <c r="J764" s="10"/>
    </row>
    <row r="765" spans="1:10" ht="18" customHeight="1" x14ac:dyDescent="0.25">
      <c r="A765" s="4"/>
      <c r="B765" s="5">
        <v>701</v>
      </c>
      <c r="C765" s="6" t="str">
        <f>IFERROR(VLOOKUP(B765,[1]customers!$A:$B,2,0),"")</f>
        <v>USA Rolls</v>
      </c>
      <c r="D765" s="5" t="s">
        <v>2543</v>
      </c>
      <c r="E765" s="5" t="s">
        <v>2547</v>
      </c>
      <c r="F765" s="5"/>
      <c r="G765" s="5" t="s">
        <v>2548</v>
      </c>
      <c r="H765" s="5"/>
      <c r="I765" s="5" t="s">
        <v>2546</v>
      </c>
      <c r="J765" s="7"/>
    </row>
    <row r="766" spans="1:10" ht="18" customHeight="1" x14ac:dyDescent="0.25">
      <c r="A766" s="8"/>
      <c r="B766" s="9">
        <v>702</v>
      </c>
      <c r="C766" s="6" t="str">
        <f>IFERROR(VLOOKUP(B766,[1]customers!$A:$B,2,0),"")</f>
        <v>Vacuum Electric Switch Co</v>
      </c>
      <c r="D766" s="9" t="s">
        <v>2549</v>
      </c>
      <c r="E766" s="9" t="s">
        <v>2550</v>
      </c>
      <c r="F766" s="9"/>
      <c r="G766" s="9" t="s">
        <v>2551</v>
      </c>
      <c r="H766" s="9" t="s">
        <v>2552</v>
      </c>
      <c r="I766" s="9"/>
      <c r="J766" s="10"/>
    </row>
    <row r="767" spans="1:10" ht="18" customHeight="1" x14ac:dyDescent="0.25">
      <c r="A767" s="4"/>
      <c r="B767" s="5">
        <v>703</v>
      </c>
      <c r="C767" s="6" t="str">
        <f>IFERROR(VLOOKUP(B767,[1]customers!$A:$B,2,0),"")</f>
        <v>Vacuum Process Engineering</v>
      </c>
      <c r="D767" s="5" t="s">
        <v>2553</v>
      </c>
      <c r="E767" s="5" t="s">
        <v>2554</v>
      </c>
      <c r="F767" s="5"/>
      <c r="G767" s="5"/>
      <c r="H767" s="5"/>
      <c r="I767" s="5" t="s">
        <v>80</v>
      </c>
      <c r="J767" s="7"/>
    </row>
    <row r="768" spans="1:10" ht="18" customHeight="1" x14ac:dyDescent="0.25">
      <c r="A768" s="8"/>
      <c r="B768" s="9">
        <v>703</v>
      </c>
      <c r="C768" s="6" t="str">
        <f>IFERROR(VLOOKUP(B768,[1]customers!$A:$B,2,0),"")</f>
        <v>Vacuum Process Engineering</v>
      </c>
      <c r="D768" s="9" t="s">
        <v>2553</v>
      </c>
      <c r="E768" s="9" t="s">
        <v>2555</v>
      </c>
      <c r="F768" s="9"/>
      <c r="G768" s="9" t="s">
        <v>2556</v>
      </c>
      <c r="H768" s="9"/>
      <c r="I768" s="9" t="s">
        <v>2557</v>
      </c>
      <c r="J768" s="10"/>
    </row>
    <row r="769" spans="1:10" ht="18" customHeight="1" x14ac:dyDescent="0.25">
      <c r="A769" s="4"/>
      <c r="B769" s="5">
        <v>704</v>
      </c>
      <c r="C769" s="6" t="str">
        <f>IFERROR(VLOOKUP(B769,[1]customers!$A:$B,2,0),"")</f>
        <v>Vadxx Energy</v>
      </c>
      <c r="D769" s="5" t="s">
        <v>2558</v>
      </c>
      <c r="E769" s="5" t="s">
        <v>2559</v>
      </c>
      <c r="F769" s="5"/>
      <c r="G769" s="5" t="s">
        <v>2560</v>
      </c>
      <c r="H769" s="5" t="s">
        <v>2561</v>
      </c>
      <c r="I769" s="5"/>
      <c r="J769" s="7"/>
    </row>
    <row r="770" spans="1:10" ht="18" customHeight="1" x14ac:dyDescent="0.25">
      <c r="A770" s="8"/>
      <c r="B770" s="9">
        <v>704</v>
      </c>
      <c r="C770" s="6" t="str">
        <f>IFERROR(VLOOKUP(B770,[1]customers!$A:$B,2,0),"")</f>
        <v>Vadxx Energy</v>
      </c>
      <c r="D770" s="9" t="s">
        <v>2558</v>
      </c>
      <c r="E770" s="9" t="s">
        <v>2562</v>
      </c>
      <c r="F770" s="9"/>
      <c r="G770" s="9" t="s">
        <v>2563</v>
      </c>
      <c r="H770" s="9" t="s">
        <v>2564</v>
      </c>
      <c r="I770" s="9"/>
      <c r="J770" s="10"/>
    </row>
    <row r="771" spans="1:10" ht="18" customHeight="1" x14ac:dyDescent="0.25">
      <c r="A771" s="4"/>
      <c r="B771" s="5">
        <v>704</v>
      </c>
      <c r="C771" s="6" t="str">
        <f>IFERROR(VLOOKUP(B771,[1]customers!$A:$B,2,0),"")</f>
        <v>Vadxx Energy</v>
      </c>
      <c r="D771" s="5" t="s">
        <v>2558</v>
      </c>
      <c r="E771" s="5" t="s">
        <v>2565</v>
      </c>
      <c r="F771" s="5"/>
      <c r="G771" s="5" t="s">
        <v>2566</v>
      </c>
      <c r="H771" s="5" t="s">
        <v>2567</v>
      </c>
      <c r="I771" s="5" t="s">
        <v>2568</v>
      </c>
      <c r="J771" s="7"/>
    </row>
    <row r="772" spans="1:10" ht="18" customHeight="1" x14ac:dyDescent="0.25">
      <c r="A772" s="8"/>
      <c r="B772" s="9">
        <v>704</v>
      </c>
      <c r="C772" s="6" t="str">
        <f>IFERROR(VLOOKUP(B772,[1]customers!$A:$B,2,0),"")</f>
        <v>Vadxx Energy</v>
      </c>
      <c r="D772" s="9" t="s">
        <v>2558</v>
      </c>
      <c r="E772" s="9" t="s">
        <v>2569</v>
      </c>
      <c r="F772" s="9"/>
      <c r="G772" s="9" t="s">
        <v>2570</v>
      </c>
      <c r="H772" s="9" t="s">
        <v>2571</v>
      </c>
      <c r="I772" s="9" t="s">
        <v>2572</v>
      </c>
      <c r="J772" s="10"/>
    </row>
    <row r="773" spans="1:10" ht="18" customHeight="1" x14ac:dyDescent="0.25">
      <c r="A773" s="4"/>
      <c r="B773" s="5">
        <v>704</v>
      </c>
      <c r="C773" s="6" t="str">
        <f>IFERROR(VLOOKUP(B773,[1]customers!$A:$B,2,0),"")</f>
        <v>Vadxx Energy</v>
      </c>
      <c r="D773" s="5" t="s">
        <v>2558</v>
      </c>
      <c r="E773" s="5" t="s">
        <v>2573</v>
      </c>
      <c r="F773" s="5"/>
      <c r="G773" s="5" t="s">
        <v>2574</v>
      </c>
      <c r="H773" s="5" t="s">
        <v>2575</v>
      </c>
      <c r="I773" s="5" t="s">
        <v>2576</v>
      </c>
      <c r="J773" s="7"/>
    </row>
    <row r="774" spans="1:10" ht="18" customHeight="1" x14ac:dyDescent="0.25">
      <c r="A774" s="8"/>
      <c r="B774" s="9">
        <v>706</v>
      </c>
      <c r="C774" s="6" t="str">
        <f>IFERROR(VLOOKUP(B774,[1]customers!$A:$B,2,0),"")</f>
        <v>Valley Rubber</v>
      </c>
      <c r="D774" s="9" t="s">
        <v>2577</v>
      </c>
      <c r="E774" s="9" t="s">
        <v>2578</v>
      </c>
      <c r="F774" s="9"/>
      <c r="G774" s="9" t="s">
        <v>2579</v>
      </c>
      <c r="H774" s="9"/>
      <c r="I774" s="9" t="s">
        <v>2580</v>
      </c>
      <c r="J774" s="10"/>
    </row>
    <row r="775" spans="1:10" ht="18" customHeight="1" x14ac:dyDescent="0.25">
      <c r="A775" s="4"/>
      <c r="B775" s="5">
        <v>706</v>
      </c>
      <c r="C775" s="6" t="str">
        <f>IFERROR(VLOOKUP(B775,[1]customers!$A:$B,2,0),"")</f>
        <v>Valley Rubber</v>
      </c>
      <c r="D775" s="5" t="s">
        <v>2577</v>
      </c>
      <c r="E775" s="5" t="s">
        <v>2581</v>
      </c>
      <c r="F775" s="5"/>
      <c r="G775" s="5" t="s">
        <v>2582</v>
      </c>
      <c r="H775" s="5" t="s">
        <v>2583</v>
      </c>
      <c r="I775" s="5" t="s">
        <v>2584</v>
      </c>
      <c r="J775" s="7"/>
    </row>
    <row r="776" spans="1:10" ht="18" customHeight="1" x14ac:dyDescent="0.25">
      <c r="A776" s="8"/>
      <c r="B776" s="9">
        <v>707</v>
      </c>
      <c r="C776" s="6" t="str">
        <f>IFERROR(VLOOKUP(B776,[1]customers!$A:$B,2,0),"")</f>
        <v>Valv-Trol, LLC</v>
      </c>
      <c r="D776" s="9" t="s">
        <v>2585</v>
      </c>
      <c r="E776" s="9" t="s">
        <v>2586</v>
      </c>
      <c r="F776" s="9"/>
      <c r="G776" s="9" t="s">
        <v>2587</v>
      </c>
      <c r="H776" s="9"/>
      <c r="I776" s="9" t="s">
        <v>2588</v>
      </c>
      <c r="J776" s="10"/>
    </row>
    <row r="777" spans="1:10" ht="18" customHeight="1" x14ac:dyDescent="0.25">
      <c r="A777" s="4"/>
      <c r="B777" s="5">
        <v>707</v>
      </c>
      <c r="C777" s="6" t="str">
        <f>IFERROR(VLOOKUP(B777,[1]customers!$A:$B,2,0),"")</f>
        <v>Valv-Trol, LLC</v>
      </c>
      <c r="D777" s="5" t="s">
        <v>2589</v>
      </c>
      <c r="E777" s="5" t="s">
        <v>2590</v>
      </c>
      <c r="F777" s="5"/>
      <c r="G777" s="5" t="s">
        <v>2591</v>
      </c>
      <c r="H777" s="5"/>
      <c r="I777" s="5" t="s">
        <v>2588</v>
      </c>
      <c r="J777" s="7"/>
    </row>
    <row r="778" spans="1:10" ht="18" customHeight="1" x14ac:dyDescent="0.25">
      <c r="A778" s="8"/>
      <c r="B778" s="9">
        <v>709</v>
      </c>
      <c r="C778" s="6" t="str">
        <f>IFERROR(VLOOKUP(B778,[1]customers!$A:$B,2,0),"")</f>
        <v>Ventana USA</v>
      </c>
      <c r="D778" s="9" t="s">
        <v>2592</v>
      </c>
      <c r="E778" s="9" t="s">
        <v>2593</v>
      </c>
      <c r="F778" s="9"/>
      <c r="G778" s="9" t="s">
        <v>2594</v>
      </c>
      <c r="H778" s="9"/>
      <c r="I778" s="9" t="s">
        <v>2595</v>
      </c>
      <c r="J778" s="10"/>
    </row>
    <row r="779" spans="1:10" ht="18" customHeight="1" x14ac:dyDescent="0.25">
      <c r="A779" s="4"/>
      <c r="B779" s="5">
        <v>710</v>
      </c>
      <c r="C779" s="6" t="str">
        <f>IFERROR(VLOOKUP(B779,[1]customers!$A:$B,2,0),"")</f>
        <v>Vexor Technology</v>
      </c>
      <c r="D779" s="5" t="s">
        <v>2596</v>
      </c>
      <c r="E779" s="5" t="s">
        <v>2597</v>
      </c>
      <c r="F779" s="5"/>
      <c r="G779" s="5" t="s">
        <v>2598</v>
      </c>
      <c r="H779" s="5"/>
      <c r="I779" s="5" t="s">
        <v>2599</v>
      </c>
      <c r="J779" s="7"/>
    </row>
    <row r="780" spans="1:10" ht="18" customHeight="1" x14ac:dyDescent="0.25">
      <c r="A780" s="8"/>
      <c r="B780" s="9">
        <v>711</v>
      </c>
      <c r="C780" s="6" t="str">
        <f>IFERROR(VLOOKUP(B780,[1]customers!$A:$B,2,0),"")</f>
        <v>Victory Machine</v>
      </c>
      <c r="D780" s="9" t="s">
        <v>2600</v>
      </c>
      <c r="E780" s="9" t="s">
        <v>2601</v>
      </c>
      <c r="F780" s="9"/>
      <c r="G780" s="9" t="s">
        <v>2602</v>
      </c>
      <c r="H780" s="9"/>
      <c r="I780" s="9" t="s">
        <v>2603</v>
      </c>
      <c r="J780" s="10"/>
    </row>
    <row r="781" spans="1:10" ht="18" customHeight="1" x14ac:dyDescent="0.25">
      <c r="A781" s="4"/>
      <c r="B781" s="5">
        <v>711</v>
      </c>
      <c r="C781" s="6" t="str">
        <f>IFERROR(VLOOKUP(B781,[1]customers!$A:$B,2,0),"")</f>
        <v>Victory Machine</v>
      </c>
      <c r="D781" s="5" t="s">
        <v>2604</v>
      </c>
      <c r="E781" s="5" t="s">
        <v>2605</v>
      </c>
      <c r="F781" s="5"/>
      <c r="G781" s="5"/>
      <c r="H781" s="5"/>
      <c r="I781" s="5" t="s">
        <v>2606</v>
      </c>
      <c r="J781" s="7"/>
    </row>
    <row r="782" spans="1:10" ht="18" customHeight="1" x14ac:dyDescent="0.25">
      <c r="A782" s="8"/>
      <c r="B782" s="9">
        <v>714</v>
      </c>
      <c r="C782" s="6" t="str">
        <f>IFERROR(VLOOKUP(B782,[1]customers!$A:$B,2,0),"")</f>
        <v>VMI Americas (Customer)</v>
      </c>
      <c r="D782" s="9" t="s">
        <v>2607</v>
      </c>
      <c r="E782" s="9" t="s">
        <v>2608</v>
      </c>
      <c r="F782" s="9"/>
      <c r="G782" s="9" t="s">
        <v>2609</v>
      </c>
      <c r="H782" s="9" t="s">
        <v>2610</v>
      </c>
      <c r="I782" s="9" t="s">
        <v>2611</v>
      </c>
      <c r="J782" s="10"/>
    </row>
    <row r="783" spans="1:10" ht="18" customHeight="1" x14ac:dyDescent="0.25">
      <c r="A783" s="4"/>
      <c r="B783" s="5">
        <v>714</v>
      </c>
      <c r="C783" s="6" t="str">
        <f>IFERROR(VLOOKUP(B783,[1]customers!$A:$B,2,0),"")</f>
        <v>VMI Americas (Customer)</v>
      </c>
      <c r="D783" s="5" t="s">
        <v>2607</v>
      </c>
      <c r="E783" s="5" t="s">
        <v>2612</v>
      </c>
      <c r="F783" s="5"/>
      <c r="G783" s="5" t="s">
        <v>2613</v>
      </c>
      <c r="H783" s="5"/>
      <c r="I783" s="5" t="s">
        <v>2614</v>
      </c>
      <c r="J783" s="7"/>
    </row>
    <row r="784" spans="1:10" ht="18" customHeight="1" x14ac:dyDescent="0.25">
      <c r="A784" s="8"/>
      <c r="B784" s="9">
        <v>714</v>
      </c>
      <c r="C784" s="6" t="str">
        <f>IFERROR(VLOOKUP(B784,[1]customers!$A:$B,2,0),"")</f>
        <v>VMI Americas (Customer)</v>
      </c>
      <c r="D784" s="9" t="s">
        <v>2607</v>
      </c>
      <c r="E784" s="9" t="s">
        <v>2612</v>
      </c>
      <c r="F784" s="9"/>
      <c r="G784" s="9" t="s">
        <v>2613</v>
      </c>
      <c r="H784" s="9"/>
      <c r="I784" s="9" t="s">
        <v>2615</v>
      </c>
      <c r="J784" s="10"/>
    </row>
    <row r="785" spans="1:10" ht="18" customHeight="1" x14ac:dyDescent="0.25">
      <c r="A785" s="4"/>
      <c r="B785" s="5">
        <v>714</v>
      </c>
      <c r="C785" s="6" t="str">
        <f>IFERROR(VLOOKUP(B785,[1]customers!$A:$B,2,0),"")</f>
        <v>VMI Americas (Customer)</v>
      </c>
      <c r="D785" s="5" t="s">
        <v>2607</v>
      </c>
      <c r="E785" s="5" t="s">
        <v>2616</v>
      </c>
      <c r="F785" s="5"/>
      <c r="G785" s="5" t="s">
        <v>2617</v>
      </c>
      <c r="H785" s="5"/>
      <c r="I785" s="5" t="s">
        <v>2618</v>
      </c>
      <c r="J785" s="7"/>
    </row>
    <row r="786" spans="1:10" ht="18" customHeight="1" x14ac:dyDescent="0.25">
      <c r="A786" s="8"/>
      <c r="B786" s="9">
        <v>714</v>
      </c>
      <c r="C786" s="6" t="str">
        <f>IFERROR(VLOOKUP(B786,[1]customers!$A:$B,2,0),"")</f>
        <v>VMI Americas (Customer)</v>
      </c>
      <c r="D786" s="9" t="s">
        <v>2607</v>
      </c>
      <c r="E786" s="9" t="s">
        <v>2619</v>
      </c>
      <c r="F786" s="9"/>
      <c r="G786" s="9" t="s">
        <v>2620</v>
      </c>
      <c r="H786" s="9" t="s">
        <v>2621</v>
      </c>
      <c r="I786" s="9" t="s">
        <v>2611</v>
      </c>
      <c r="J786" s="10"/>
    </row>
    <row r="787" spans="1:10" ht="18" customHeight="1" x14ac:dyDescent="0.25">
      <c r="A787" s="4"/>
      <c r="B787" s="5">
        <v>714</v>
      </c>
      <c r="C787" s="6" t="str">
        <f>IFERROR(VLOOKUP(B787,[1]customers!$A:$B,2,0),"")</f>
        <v>VMI Americas (Customer)</v>
      </c>
      <c r="D787" s="5" t="s">
        <v>2607</v>
      </c>
      <c r="E787" s="5" t="s">
        <v>2622</v>
      </c>
      <c r="F787" s="5"/>
      <c r="G787" s="5" t="s">
        <v>2623</v>
      </c>
      <c r="H787" s="5" t="s">
        <v>2624</v>
      </c>
      <c r="I787" s="5"/>
      <c r="J787" s="7"/>
    </row>
    <row r="788" spans="1:10" ht="18" customHeight="1" x14ac:dyDescent="0.25">
      <c r="A788" s="4"/>
      <c r="B788" s="5">
        <v>717</v>
      </c>
      <c r="C788" s="6" t="str">
        <f>IFERROR(VLOOKUP(B788,[1]customers!$A:$B,2,0),"")</f>
        <v>Wayfare Foods</v>
      </c>
      <c r="D788" s="5" t="s">
        <v>2625</v>
      </c>
      <c r="E788" s="5" t="s">
        <v>2626</v>
      </c>
      <c r="F788" s="5"/>
      <c r="G788" s="5"/>
      <c r="H788" s="5" t="s">
        <v>2627</v>
      </c>
      <c r="I788" s="5"/>
      <c r="J788" s="7"/>
    </row>
    <row r="789" spans="1:10" ht="18" customHeight="1" x14ac:dyDescent="0.25">
      <c r="A789" s="4"/>
      <c r="B789" s="5">
        <v>718</v>
      </c>
      <c r="C789" s="6" t="str">
        <f>IFERROR(VLOOKUP(B789,[1]customers!$A:$B,2,0),"")</f>
        <v>Welded Tubes, Inc</v>
      </c>
      <c r="D789" s="5" t="s">
        <v>2628</v>
      </c>
      <c r="E789" s="5" t="s">
        <v>2629</v>
      </c>
      <c r="F789" s="5"/>
      <c r="G789" s="5" t="s">
        <v>2630</v>
      </c>
      <c r="H789" s="5"/>
      <c r="I789" s="5" t="s">
        <v>2631</v>
      </c>
      <c r="J789" s="7"/>
    </row>
    <row r="790" spans="1:10" ht="18" customHeight="1" x14ac:dyDescent="0.25">
      <c r="A790" s="8"/>
      <c r="B790" s="9">
        <v>719</v>
      </c>
      <c r="C790" s="6" t="str">
        <f>IFERROR(VLOOKUP(B790,[1]customers!$A:$B,2,0),"")</f>
        <v>Welton Shipping Co LLC</v>
      </c>
      <c r="D790" s="9" t="s">
        <v>2632</v>
      </c>
      <c r="E790" s="9" t="s">
        <v>2633</v>
      </c>
      <c r="F790" s="9"/>
      <c r="G790" s="9" t="s">
        <v>2634</v>
      </c>
      <c r="H790" s="9"/>
      <c r="I790" s="9" t="s">
        <v>2635</v>
      </c>
      <c r="J790" s="10"/>
    </row>
    <row r="791" spans="1:10" ht="18" customHeight="1" x14ac:dyDescent="0.25">
      <c r="A791" s="4"/>
      <c r="B791" s="5">
        <v>722</v>
      </c>
      <c r="C791" s="6" t="str">
        <f>IFERROR(VLOOKUP(B791,[1]customers!$A:$B,2,0),"")</f>
        <v>Whitacre Greer</v>
      </c>
      <c r="D791" s="5" t="s">
        <v>2636</v>
      </c>
      <c r="E791" s="5" t="s">
        <v>1067</v>
      </c>
      <c r="F791" s="5"/>
      <c r="G791" s="5"/>
      <c r="H791" s="5" t="s">
        <v>2637</v>
      </c>
      <c r="I791" s="5"/>
      <c r="J791" s="7"/>
    </row>
    <row r="792" spans="1:10" ht="18" customHeight="1" x14ac:dyDescent="0.25">
      <c r="A792" s="8"/>
      <c r="B792" s="9">
        <v>722</v>
      </c>
      <c r="C792" s="6" t="str">
        <f>IFERROR(VLOOKUP(B792,[1]customers!$A:$B,2,0),"")</f>
        <v>Whitacre Greer</v>
      </c>
      <c r="D792" s="9" t="s">
        <v>2636</v>
      </c>
      <c r="E792" s="9" t="s">
        <v>2638</v>
      </c>
      <c r="F792" s="9"/>
      <c r="G792" s="9" t="s">
        <v>2639</v>
      </c>
      <c r="H792" s="9"/>
      <c r="I792" s="9" t="s">
        <v>2637</v>
      </c>
      <c r="J792" s="10"/>
    </row>
    <row r="793" spans="1:10" ht="18" customHeight="1" x14ac:dyDescent="0.25">
      <c r="A793" s="4"/>
      <c r="B793" s="5">
        <v>722</v>
      </c>
      <c r="C793" s="6" t="str">
        <f>IFERROR(VLOOKUP(B793,[1]customers!$A:$B,2,0),"")</f>
        <v>Whitacre Greer</v>
      </c>
      <c r="D793" s="5" t="s">
        <v>2636</v>
      </c>
      <c r="E793" s="5" t="s">
        <v>2640</v>
      </c>
      <c r="F793" s="5"/>
      <c r="G793" s="5"/>
      <c r="H793" s="5"/>
      <c r="I793" s="5"/>
      <c r="J793" s="7"/>
    </row>
    <row r="794" spans="1:10" ht="18" customHeight="1" x14ac:dyDescent="0.25">
      <c r="A794" s="8"/>
      <c r="B794" s="9">
        <v>723</v>
      </c>
      <c r="C794" s="6" t="str">
        <f>IFERROR(VLOOKUP(B794,[1]customers!$A:$B,2,0),"")</f>
        <v>Wigglesworth Machinery</v>
      </c>
      <c r="D794" s="9" t="s">
        <v>2641</v>
      </c>
      <c r="E794" s="9" t="s">
        <v>2642</v>
      </c>
      <c r="F794" s="9"/>
      <c r="G794" s="9" t="s">
        <v>2643</v>
      </c>
      <c r="H794" s="9"/>
      <c r="I794" s="9" t="s">
        <v>2644</v>
      </c>
      <c r="J794" s="10"/>
    </row>
    <row r="795" spans="1:10" ht="18" customHeight="1" x14ac:dyDescent="0.25">
      <c r="A795" s="4"/>
      <c r="B795" s="5">
        <v>724</v>
      </c>
      <c r="C795" s="6" t="str">
        <f>IFERROR(VLOOKUP(B795,[1]customers!$A:$B,2,0),"")</f>
        <v>William B Meyer, Inc</v>
      </c>
      <c r="D795" s="5" t="s">
        <v>2645</v>
      </c>
      <c r="E795" s="5" t="s">
        <v>2646</v>
      </c>
      <c r="F795" s="5"/>
      <c r="G795" s="5" t="s">
        <v>2647</v>
      </c>
      <c r="H795" s="5" t="s">
        <v>2648</v>
      </c>
      <c r="I795" s="5" t="s">
        <v>2649</v>
      </c>
      <c r="J795" s="7"/>
    </row>
    <row r="796" spans="1:10" ht="18" customHeight="1" x14ac:dyDescent="0.25">
      <c r="A796" s="8"/>
      <c r="B796" s="9">
        <v>726</v>
      </c>
      <c r="C796" s="6" t="str">
        <f>IFERROR(VLOOKUP(B796,[1]customers!$A:$B,2,0),"")</f>
        <v>Winkle Industries</v>
      </c>
      <c r="D796" s="9" t="s">
        <v>2650</v>
      </c>
      <c r="E796" s="9" t="s">
        <v>2651</v>
      </c>
      <c r="F796" s="9"/>
      <c r="G796" s="9" t="s">
        <v>2652</v>
      </c>
      <c r="H796" s="9"/>
      <c r="I796" s="9" t="s">
        <v>2653</v>
      </c>
      <c r="J796" s="10"/>
    </row>
    <row r="797" spans="1:10" ht="18" customHeight="1" x14ac:dyDescent="0.25">
      <c r="A797" s="4"/>
      <c r="B797" s="5">
        <v>727</v>
      </c>
      <c r="C797" s="6" t="str">
        <f>IFERROR(VLOOKUP(B797,[1]customers!$A:$B,2,0),"")</f>
        <v>Wisconsin Oven Corporation</v>
      </c>
      <c r="D797" s="5" t="s">
        <v>2654</v>
      </c>
      <c r="E797" s="5" t="s">
        <v>2655</v>
      </c>
      <c r="F797" s="5"/>
      <c r="G797" s="5"/>
      <c r="H797" s="5" t="s">
        <v>2656</v>
      </c>
      <c r="I797" s="5"/>
      <c r="J797" s="7"/>
    </row>
    <row r="798" spans="1:10" ht="18" customHeight="1" x14ac:dyDescent="0.25">
      <c r="A798" s="8"/>
      <c r="B798" s="9">
        <v>728</v>
      </c>
      <c r="C798" s="6" t="str">
        <f>IFERROR(VLOOKUP(B798,[1]customers!$A:$B,2,0),"")</f>
        <v>Workman Industrial Services, Inc</v>
      </c>
      <c r="D798" s="9" t="s">
        <v>2657</v>
      </c>
      <c r="E798" s="9" t="s">
        <v>2658</v>
      </c>
      <c r="F798" s="9"/>
      <c r="G798" s="9" t="s">
        <v>2659</v>
      </c>
      <c r="H798" s="9"/>
      <c r="I798" s="9" t="s">
        <v>2660</v>
      </c>
      <c r="J798" s="10"/>
    </row>
    <row r="799" spans="1:10" ht="18" customHeight="1" x14ac:dyDescent="0.25">
      <c r="A799" s="4"/>
      <c r="B799" s="5">
        <v>728</v>
      </c>
      <c r="C799" s="6" t="str">
        <f>IFERROR(VLOOKUP(B799,[1]customers!$A:$B,2,0),"")</f>
        <v>Workman Industrial Services, Inc</v>
      </c>
      <c r="D799" s="5" t="s">
        <v>2657</v>
      </c>
      <c r="E799" s="5" t="s">
        <v>2661</v>
      </c>
      <c r="F799" s="5"/>
      <c r="G799" s="5" t="s">
        <v>2662</v>
      </c>
      <c r="H799" s="5"/>
      <c r="I799" s="5" t="s">
        <v>2660</v>
      </c>
      <c r="J799" s="7"/>
    </row>
    <row r="800" spans="1:10" ht="18" customHeight="1" x14ac:dyDescent="0.25">
      <c r="A800" s="8"/>
      <c r="B800" s="9">
        <v>729</v>
      </c>
      <c r="C800" s="6" t="str">
        <f>IFERROR(VLOOKUP(B800,[1]customers!$A:$B,2,0),"")</f>
        <v>Workshop Wire Cut and Machine, Inc</v>
      </c>
      <c r="D800" s="9" t="s">
        <v>2663</v>
      </c>
      <c r="E800" s="9" t="s">
        <v>2664</v>
      </c>
      <c r="F800" s="9"/>
      <c r="G800" s="9"/>
      <c r="H800" s="9"/>
      <c r="I800" s="9" t="s">
        <v>2665</v>
      </c>
      <c r="J800" s="10"/>
    </row>
    <row r="801" spans="1:10" ht="18" customHeight="1" x14ac:dyDescent="0.25">
      <c r="A801" s="4"/>
      <c r="B801" s="5">
        <v>730</v>
      </c>
      <c r="C801" s="6" t="str">
        <f>IFERROR(VLOOKUP(B801,[1]customers!$A:$B,2,0),"")</f>
        <v>World Equipment &amp; Machine Sales Co</v>
      </c>
      <c r="D801" s="5" t="s">
        <v>2666</v>
      </c>
      <c r="E801" s="5" t="s">
        <v>2667</v>
      </c>
      <c r="F801" s="5"/>
      <c r="G801" s="5" t="s">
        <v>2668</v>
      </c>
      <c r="H801" s="5" t="s">
        <v>2669</v>
      </c>
      <c r="I801" s="5" t="s">
        <v>2670</v>
      </c>
      <c r="J801" s="7"/>
    </row>
    <row r="802" spans="1:10" ht="18" customHeight="1" x14ac:dyDescent="0.25">
      <c r="A802" s="4"/>
      <c r="B802" s="5">
        <v>732</v>
      </c>
      <c r="C802" s="6" t="str">
        <f>IFERROR(VLOOKUP(B802,[1]customers!$A:$B,2,0),"")</f>
        <v>Yoder Brothers Machinery</v>
      </c>
      <c r="D802" s="5" t="s">
        <v>2671</v>
      </c>
      <c r="E802" s="5" t="s">
        <v>2672</v>
      </c>
      <c r="F802" s="5"/>
      <c r="G802" s="5" t="s">
        <v>2673</v>
      </c>
      <c r="H802" s="5"/>
      <c r="I802" s="5" t="s">
        <v>2674</v>
      </c>
      <c r="J802" s="7"/>
    </row>
    <row r="803" spans="1:10" ht="18" customHeight="1" x14ac:dyDescent="0.25">
      <c r="A803" s="8"/>
      <c r="B803" s="9">
        <v>736</v>
      </c>
      <c r="C803" s="6" t="str">
        <f>IFERROR(VLOOKUP(B803,[1]customers!$A:$B,2,0),"")</f>
        <v>ZF Composites</v>
      </c>
      <c r="D803" s="9" t="s">
        <v>2675</v>
      </c>
      <c r="E803" s="9" t="s">
        <v>2676</v>
      </c>
      <c r="F803" s="9"/>
      <c r="G803" s="9" t="s">
        <v>2677</v>
      </c>
      <c r="H803" s="9"/>
      <c r="I803" s="9" t="s">
        <v>2678</v>
      </c>
      <c r="J803" s="10"/>
    </row>
    <row r="804" spans="1:10" ht="18" customHeight="1" x14ac:dyDescent="0.25">
      <c r="A804" s="12"/>
      <c r="B804" s="11">
        <v>7</v>
      </c>
      <c r="C804" s="11" t="str">
        <f>IFERROR(VLOOKUP(B804,[1]customers!$A:$B,2,0),"")</f>
        <v>Accel Group, Inc</v>
      </c>
      <c r="D804" s="11" t="s">
        <v>2679</v>
      </c>
      <c r="E804" s="11" t="s">
        <v>2680</v>
      </c>
      <c r="F804" s="11"/>
      <c r="G804" s="11"/>
      <c r="H804" s="11"/>
      <c r="I804" s="11"/>
      <c r="J804" s="13"/>
    </row>
    <row r="805" spans="1:10" ht="18" customHeight="1" x14ac:dyDescent="0.25">
      <c r="A805" s="12"/>
      <c r="B805" s="11">
        <v>59</v>
      </c>
      <c r="C805" s="11" t="str">
        <f>IFERROR(VLOOKUP(B805,[1]customers!$A:$B,2,0),"")</f>
        <v>ARE Truck Caps</v>
      </c>
      <c r="D805" s="11" t="s">
        <v>2681</v>
      </c>
      <c r="E805" s="11" t="s">
        <v>54</v>
      </c>
      <c r="F805" s="11"/>
      <c r="G805" s="11" t="s">
        <v>55</v>
      </c>
      <c r="H805" s="11" t="s">
        <v>56</v>
      </c>
      <c r="I805" s="11"/>
      <c r="J805" s="13"/>
    </row>
    <row r="806" spans="1:10" ht="18" customHeight="1" x14ac:dyDescent="0.25">
      <c r="A806" s="12"/>
      <c r="B806" s="11">
        <v>107</v>
      </c>
      <c r="C806" s="11" t="str">
        <f>IFERROR(VLOOKUP(B806,[1]customers!$A:$B,2,0),"")</f>
        <v>Bridgestone/Firestone</v>
      </c>
      <c r="D806" s="11" t="s">
        <v>2682</v>
      </c>
      <c r="E806" s="11" t="s">
        <v>2683</v>
      </c>
      <c r="F806" s="11"/>
      <c r="G806" s="11" t="s">
        <v>2684</v>
      </c>
      <c r="H806" s="11"/>
      <c r="I806" s="11" t="s">
        <v>2685</v>
      </c>
      <c r="J806" s="13"/>
    </row>
    <row r="807" spans="1:10" ht="18" customHeight="1" x14ac:dyDescent="0.25">
      <c r="A807" s="12"/>
      <c r="B807" s="11">
        <v>107</v>
      </c>
      <c r="C807" s="11" t="str">
        <f>IFERROR(VLOOKUP(B807,[1]customers!$A:$B,2,0),"")</f>
        <v>Bridgestone/Firestone</v>
      </c>
      <c r="D807" s="11" t="s">
        <v>2682</v>
      </c>
      <c r="E807" s="11" t="s">
        <v>2686</v>
      </c>
      <c r="F807" s="11"/>
      <c r="G807" s="11" t="s">
        <v>2687</v>
      </c>
      <c r="H807" s="11" t="s">
        <v>2688</v>
      </c>
      <c r="I807" s="11" t="s">
        <v>2689</v>
      </c>
      <c r="J807" s="13"/>
    </row>
    <row r="808" spans="1:10" ht="18" customHeight="1" x14ac:dyDescent="0.25">
      <c r="A808" s="12"/>
      <c r="B808" s="11">
        <v>107</v>
      </c>
      <c r="C808" s="11" t="str">
        <f>IFERROR(VLOOKUP(B808,[1]customers!$A:$B,2,0),"")</f>
        <v>Bridgestone/Firestone</v>
      </c>
      <c r="D808" s="11" t="s">
        <v>2682</v>
      </c>
      <c r="E808" s="11" t="s">
        <v>2690</v>
      </c>
      <c r="F808" s="11"/>
      <c r="G808" s="11" t="s">
        <v>2691</v>
      </c>
      <c r="H808" s="11" t="s">
        <v>2692</v>
      </c>
      <c r="I808" s="11" t="s">
        <v>2693</v>
      </c>
      <c r="J808" s="13"/>
    </row>
    <row r="809" spans="1:10" ht="18" customHeight="1" x14ac:dyDescent="0.25">
      <c r="A809" s="12"/>
      <c r="B809" s="11">
        <v>107</v>
      </c>
      <c r="C809" s="11" t="str">
        <f>IFERROR(VLOOKUP(B809,[1]customers!$A:$B,2,0),"")</f>
        <v>Bridgestone/Firestone</v>
      </c>
      <c r="D809" s="11" t="s">
        <v>2682</v>
      </c>
      <c r="E809" s="11" t="s">
        <v>2694</v>
      </c>
      <c r="F809" s="11"/>
      <c r="G809" s="11" t="s">
        <v>2695</v>
      </c>
      <c r="H809" s="11"/>
      <c r="I809" s="11" t="s">
        <v>2696</v>
      </c>
      <c r="J809" s="13"/>
    </row>
    <row r="810" spans="1:10" ht="18" customHeight="1" x14ac:dyDescent="0.25">
      <c r="A810" s="12"/>
      <c r="B810" s="11">
        <v>107</v>
      </c>
      <c r="C810" s="11" t="str">
        <f>IFERROR(VLOOKUP(B810,[1]customers!$A:$B,2,0),"")</f>
        <v>Bridgestone/Firestone</v>
      </c>
      <c r="D810" s="11" t="s">
        <v>2682</v>
      </c>
      <c r="E810" s="11" t="s">
        <v>2697</v>
      </c>
      <c r="F810" s="11"/>
      <c r="G810" s="11" t="s">
        <v>2698</v>
      </c>
      <c r="H810" s="11"/>
      <c r="I810" s="11" t="s">
        <v>2685</v>
      </c>
      <c r="J810" s="13"/>
    </row>
    <row r="811" spans="1:10" ht="18" customHeight="1" x14ac:dyDescent="0.25">
      <c r="A811" s="12"/>
      <c r="B811" s="11">
        <v>107</v>
      </c>
      <c r="C811" s="11" t="str">
        <f>IFERROR(VLOOKUP(B811,[1]customers!$A:$B,2,0),"")</f>
        <v>Bridgestone/Firestone</v>
      </c>
      <c r="D811" s="11" t="s">
        <v>2682</v>
      </c>
      <c r="E811" s="11" t="s">
        <v>2699</v>
      </c>
      <c r="F811" s="11"/>
      <c r="G811" s="11" t="s">
        <v>2700</v>
      </c>
      <c r="H811" s="11" t="s">
        <v>2701</v>
      </c>
      <c r="I811" s="11" t="s">
        <v>2702</v>
      </c>
      <c r="J811" s="13"/>
    </row>
    <row r="812" spans="1:10" ht="18" customHeight="1" x14ac:dyDescent="0.25">
      <c r="A812" s="12"/>
      <c r="B812" s="11">
        <v>107</v>
      </c>
      <c r="C812" s="11" t="str">
        <f>IFERROR(VLOOKUP(B812,[1]customers!$A:$B,2,0),"")</f>
        <v>Bridgestone/Firestone</v>
      </c>
      <c r="D812" s="11" t="s">
        <v>2682</v>
      </c>
      <c r="E812" s="11" t="s">
        <v>2703</v>
      </c>
      <c r="F812" s="11"/>
      <c r="G812" s="11" t="s">
        <v>2704</v>
      </c>
      <c r="H812" s="11"/>
      <c r="I812" s="11" t="s">
        <v>2685</v>
      </c>
      <c r="J812" s="13"/>
    </row>
    <row r="813" spans="1:10" ht="18" customHeight="1" x14ac:dyDescent="0.25">
      <c r="A813" s="12"/>
      <c r="B813" s="11">
        <v>107</v>
      </c>
      <c r="C813" s="11" t="str">
        <f>IFERROR(VLOOKUP(B813,[1]customers!$A:$B,2,0),"")</f>
        <v>Bridgestone/Firestone</v>
      </c>
      <c r="D813" s="11" t="s">
        <v>2705</v>
      </c>
      <c r="E813" s="11" t="s">
        <v>2706</v>
      </c>
      <c r="F813" s="11"/>
      <c r="G813" s="11"/>
      <c r="H813" s="11"/>
      <c r="I813" s="11" t="s">
        <v>2707</v>
      </c>
      <c r="J813" s="13"/>
    </row>
    <row r="814" spans="1:10" ht="18" customHeight="1" x14ac:dyDescent="0.25">
      <c r="A814" s="12"/>
      <c r="B814" s="11">
        <v>120</v>
      </c>
      <c r="C814" s="11" t="str">
        <f>IFERROR(VLOOKUP(B814,[1]customers!$A:$B,2,0),"")</f>
        <v>Cage Gear and Machine, LLC</v>
      </c>
      <c r="D814" s="11" t="s">
        <v>2708</v>
      </c>
      <c r="E814" s="11" t="s">
        <v>2709</v>
      </c>
      <c r="F814" s="11"/>
      <c r="G814" s="11" t="s">
        <v>2710</v>
      </c>
      <c r="H814" s="11"/>
      <c r="I814" s="11" t="s">
        <v>2711</v>
      </c>
      <c r="J814" s="13"/>
    </row>
    <row r="815" spans="1:10" ht="18" customHeight="1" x14ac:dyDescent="0.25">
      <c r="A815" s="12"/>
      <c r="B815" s="11">
        <v>126</v>
      </c>
      <c r="C815" s="11" t="str">
        <f>IFERROR(VLOOKUP(B815,[1]customers!$A:$B,2,0),"")</f>
        <v>Cargill Incorporated</v>
      </c>
      <c r="D815" s="11" t="s">
        <v>2712</v>
      </c>
      <c r="E815" s="11" t="s">
        <v>2713</v>
      </c>
      <c r="F815" s="11"/>
      <c r="G815" s="11" t="s">
        <v>2714</v>
      </c>
      <c r="H815" s="11"/>
      <c r="I815" s="11" t="s">
        <v>2715</v>
      </c>
      <c r="J815" s="13"/>
    </row>
    <row r="816" spans="1:10" ht="18" customHeight="1" x14ac:dyDescent="0.25">
      <c r="A816" s="12"/>
      <c r="B816" s="11">
        <v>131</v>
      </c>
      <c r="C816" s="11" t="str">
        <f>IFERROR(VLOOKUP(B816,[1]customers!$A:$B,2,0),"")</f>
        <v>Cavanaugh Building</v>
      </c>
      <c r="D816" s="11" t="s">
        <v>2716</v>
      </c>
      <c r="E816" s="11" t="s">
        <v>2717</v>
      </c>
      <c r="F816" s="11"/>
      <c r="G816" s="11" t="s">
        <v>2718</v>
      </c>
      <c r="H816" s="11"/>
      <c r="I816" s="11" t="s">
        <v>2719</v>
      </c>
      <c r="J816" s="13"/>
    </row>
    <row r="817" spans="1:10" ht="18" customHeight="1" x14ac:dyDescent="0.25">
      <c r="A817" s="12"/>
      <c r="B817" s="11">
        <v>140</v>
      </c>
      <c r="C817" s="11" t="str">
        <f>IFERROR(VLOOKUP(B817,[1]customers!$A:$B,2,0),"")</f>
        <v>Clampco Products Inc</v>
      </c>
      <c r="D817" s="11" t="s">
        <v>2720</v>
      </c>
      <c r="E817" s="11" t="s">
        <v>2721</v>
      </c>
      <c r="F817" s="11"/>
      <c r="G817" s="11" t="s">
        <v>2722</v>
      </c>
      <c r="H817" s="11"/>
      <c r="I817" s="11">
        <v>3303368857</v>
      </c>
      <c r="J817" s="13"/>
    </row>
    <row r="818" spans="1:10" ht="18" customHeight="1" x14ac:dyDescent="0.25">
      <c r="A818" s="12"/>
      <c r="B818" s="11">
        <v>140</v>
      </c>
      <c r="C818" s="11" t="str">
        <f>IFERROR(VLOOKUP(B818,[1]customers!$A:$B,2,0),"")</f>
        <v>Clampco Products Inc</v>
      </c>
      <c r="D818" s="11" t="s">
        <v>2720</v>
      </c>
      <c r="E818" s="11" t="s">
        <v>2721</v>
      </c>
      <c r="F818" s="11"/>
      <c r="G818" s="11" t="s">
        <v>2722</v>
      </c>
      <c r="H818" s="11"/>
      <c r="I818" s="11" t="s">
        <v>2723</v>
      </c>
      <c r="J818" s="13"/>
    </row>
    <row r="819" spans="1:10" ht="18" customHeight="1" x14ac:dyDescent="0.25">
      <c r="A819" s="12"/>
      <c r="B819" s="11">
        <v>180</v>
      </c>
      <c r="C819" s="11" t="str">
        <f>IFERROR(VLOOKUP(B819,[1]customers!$A:$B,2,0),"")</f>
        <v>Dannemiller Diversified</v>
      </c>
      <c r="D819" s="11" t="s">
        <v>2724</v>
      </c>
      <c r="E819" s="11" t="s">
        <v>2725</v>
      </c>
      <c r="F819" s="11"/>
      <c r="G819" s="11" t="s">
        <v>2726</v>
      </c>
      <c r="H819" s="11"/>
      <c r="I819" s="11"/>
      <c r="J819" s="13"/>
    </row>
    <row r="820" spans="1:10" ht="18" customHeight="1" x14ac:dyDescent="0.25">
      <c r="A820" s="12"/>
      <c r="B820" s="11">
        <v>193</v>
      </c>
      <c r="C820" s="11" t="str">
        <f>IFERROR(VLOOKUP(B820,[1]customers!$A:$B,2,0),"")</f>
        <v>Dinesol Plastics Inc</v>
      </c>
      <c r="D820" s="11" t="s">
        <v>2727</v>
      </c>
      <c r="E820" s="11" t="s">
        <v>2728</v>
      </c>
      <c r="F820" s="11"/>
      <c r="G820" s="11" t="s">
        <v>2729</v>
      </c>
      <c r="H820" s="11" t="s">
        <v>2730</v>
      </c>
      <c r="I820" s="11" t="s">
        <v>2731</v>
      </c>
      <c r="J820" s="13"/>
    </row>
    <row r="821" spans="1:10" ht="18" customHeight="1" x14ac:dyDescent="0.25">
      <c r="A821" s="12"/>
      <c r="B821" s="11">
        <v>202</v>
      </c>
      <c r="C821" s="11" t="str">
        <f>IFERROR(VLOOKUP(B821,[1]customers!$A:$B,2,0),"")</f>
        <v>DriV Automotive Inc</v>
      </c>
      <c r="D821" s="11" t="s">
        <v>2732</v>
      </c>
      <c r="E821" s="11" t="s">
        <v>2733</v>
      </c>
      <c r="F821" s="11"/>
      <c r="G821" s="11"/>
      <c r="H821" s="11"/>
      <c r="I821" s="11"/>
      <c r="J821" s="13"/>
    </row>
    <row r="822" spans="1:10" ht="18" customHeight="1" x14ac:dyDescent="0.25">
      <c r="A822" s="12"/>
      <c r="B822" s="11">
        <v>219</v>
      </c>
      <c r="C822" s="11" t="str">
        <f>IFERROR(VLOOKUP(B822,[1]customers!$A:$B,2,0),"")</f>
        <v>Elgin Fastener Group</v>
      </c>
      <c r="D822" s="11" t="s">
        <v>2734</v>
      </c>
      <c r="E822" s="11" t="s">
        <v>2735</v>
      </c>
      <c r="F822" s="11"/>
      <c r="G822" s="11" t="s">
        <v>2736</v>
      </c>
      <c r="H822" s="11" t="s">
        <v>2737</v>
      </c>
      <c r="I822" s="11"/>
      <c r="J822" s="13"/>
    </row>
    <row r="823" spans="1:10" ht="18" customHeight="1" x14ac:dyDescent="0.25">
      <c r="A823" s="12"/>
      <c r="B823" s="11">
        <v>219</v>
      </c>
      <c r="C823" s="11" t="str">
        <f>IFERROR(VLOOKUP(B823,[1]customers!$A:$B,2,0),"")</f>
        <v>Elgin Fastener Group</v>
      </c>
      <c r="D823" s="11" t="s">
        <v>2734</v>
      </c>
      <c r="E823" s="11" t="s">
        <v>2738</v>
      </c>
      <c r="F823" s="11"/>
      <c r="G823" s="11" t="s">
        <v>2739</v>
      </c>
      <c r="H823" s="11" t="s">
        <v>2740</v>
      </c>
      <c r="I823" s="11"/>
      <c r="J823" s="13"/>
    </row>
    <row r="824" spans="1:10" ht="18" customHeight="1" x14ac:dyDescent="0.25">
      <c r="A824" s="12"/>
      <c r="B824" s="11">
        <v>219</v>
      </c>
      <c r="C824" s="11" t="str">
        <f>IFERROR(VLOOKUP(B824,[1]customers!$A:$B,2,0),"")</f>
        <v>Elgin Fastener Group</v>
      </c>
      <c r="D824" s="11" t="s">
        <v>2734</v>
      </c>
      <c r="E824" s="11" t="s">
        <v>2741</v>
      </c>
      <c r="F824" s="11"/>
      <c r="G824" s="11" t="s">
        <v>2742</v>
      </c>
      <c r="H824" s="11"/>
      <c r="I824" s="11" t="s">
        <v>2743</v>
      </c>
      <c r="J824" s="13"/>
    </row>
    <row r="825" spans="1:10" ht="18" customHeight="1" x14ac:dyDescent="0.25">
      <c r="A825" s="12"/>
      <c r="B825" s="11">
        <v>219</v>
      </c>
      <c r="C825" s="11" t="str">
        <f>IFERROR(VLOOKUP(B825,[1]customers!$A:$B,2,0),"")</f>
        <v>Elgin Fastener Group</v>
      </c>
      <c r="D825" s="11" t="s">
        <v>2734</v>
      </c>
      <c r="E825" s="11" t="s">
        <v>2744</v>
      </c>
      <c r="F825" s="11"/>
      <c r="G825" s="11" t="s">
        <v>2745</v>
      </c>
      <c r="H825" s="11"/>
      <c r="I825" s="11" t="s">
        <v>2746</v>
      </c>
      <c r="J825" s="13"/>
    </row>
    <row r="826" spans="1:10" ht="18" customHeight="1" x14ac:dyDescent="0.25">
      <c r="A826" s="12"/>
      <c r="B826" s="11">
        <v>219</v>
      </c>
      <c r="C826" s="11" t="str">
        <f>IFERROR(VLOOKUP(B826,[1]customers!$A:$B,2,0),"")</f>
        <v>Elgin Fastener Group</v>
      </c>
      <c r="D826" s="11" t="s">
        <v>2734</v>
      </c>
      <c r="E826" s="11" t="s">
        <v>2747</v>
      </c>
      <c r="F826" s="11"/>
      <c r="G826" s="11" t="s">
        <v>2748</v>
      </c>
      <c r="H826" s="11"/>
      <c r="I826" s="11">
        <v>4405504245</v>
      </c>
      <c r="J826" s="13"/>
    </row>
    <row r="827" spans="1:10" ht="18" customHeight="1" x14ac:dyDescent="0.25">
      <c r="A827" s="12"/>
      <c r="B827" s="11">
        <v>219</v>
      </c>
      <c r="C827" s="11" t="str">
        <f>IFERROR(VLOOKUP(B827,[1]customers!$A:$B,2,0),"")</f>
        <v>Elgin Fastener Group</v>
      </c>
      <c r="D827" s="11" t="s">
        <v>2734</v>
      </c>
      <c r="E827" s="11" t="s">
        <v>2749</v>
      </c>
      <c r="F827" s="11"/>
      <c r="G827" s="11" t="s">
        <v>2750</v>
      </c>
      <c r="H827" s="11" t="s">
        <v>2751</v>
      </c>
      <c r="I827" s="11"/>
      <c r="J827" s="13"/>
    </row>
    <row r="828" spans="1:10" ht="18" customHeight="1" x14ac:dyDescent="0.25">
      <c r="A828" s="12"/>
      <c r="B828" s="11">
        <v>253</v>
      </c>
      <c r="C828" s="11" t="str">
        <f>IFERROR(VLOOKUP(B828,[1]customers!$A:$B,2,0),"")</f>
        <v>FastSigns Columbus</v>
      </c>
      <c r="D828" s="11" t="s">
        <v>2752</v>
      </c>
      <c r="E828" s="11" t="s">
        <v>2753</v>
      </c>
      <c r="F828" s="11"/>
      <c r="G828" s="11" t="s">
        <v>2754</v>
      </c>
      <c r="H828" s="11" t="s">
        <v>2755</v>
      </c>
      <c r="I828" s="11" t="s">
        <v>2756</v>
      </c>
      <c r="J828" s="13"/>
    </row>
    <row r="829" spans="1:10" ht="18" customHeight="1" x14ac:dyDescent="0.25">
      <c r="A829" s="12"/>
      <c r="B829" s="11">
        <v>254</v>
      </c>
      <c r="C829" s="11" t="str">
        <f>IFERROR(VLOOKUP(B829,[1]customers!$A:$B,2,0),"")</f>
        <v>Fazio Mechanical</v>
      </c>
      <c r="D829" s="11" t="s">
        <v>2757</v>
      </c>
      <c r="E829" s="11" t="s">
        <v>2725</v>
      </c>
      <c r="F829" s="11"/>
      <c r="G829" s="11" t="s">
        <v>2758</v>
      </c>
      <c r="H829" s="11" t="s">
        <v>2759</v>
      </c>
      <c r="I829" s="11"/>
      <c r="J829" s="13"/>
    </row>
    <row r="830" spans="1:10" ht="18" customHeight="1" x14ac:dyDescent="0.25">
      <c r="A830" s="12"/>
      <c r="B830" s="11">
        <v>294</v>
      </c>
      <c r="C830" s="11" t="str">
        <f>IFERROR(VLOOKUP(B830,[1]customers!$A:$B,2,0),"")</f>
        <v>Goodyear Tire &amp; Rubber Company</v>
      </c>
      <c r="D830" s="11" t="s">
        <v>2760</v>
      </c>
      <c r="E830" s="11" t="s">
        <v>2761</v>
      </c>
      <c r="F830" s="11"/>
      <c r="G830" s="11" t="s">
        <v>2762</v>
      </c>
      <c r="H830" s="11"/>
      <c r="I830" s="11" t="s">
        <v>2763</v>
      </c>
      <c r="J830" s="13"/>
    </row>
    <row r="831" spans="1:10" ht="18" customHeight="1" x14ac:dyDescent="0.25">
      <c r="A831" s="12"/>
      <c r="B831" s="11">
        <v>294</v>
      </c>
      <c r="C831" s="11" t="str">
        <f>IFERROR(VLOOKUP(B831,[1]customers!$A:$B,2,0),"")</f>
        <v>Goodyear Tire &amp; Rubber Company</v>
      </c>
      <c r="D831" s="11" t="s">
        <v>2764</v>
      </c>
      <c r="E831" s="11" t="s">
        <v>2765</v>
      </c>
      <c r="F831" s="11"/>
      <c r="G831" s="11" t="s">
        <v>2766</v>
      </c>
      <c r="H831" s="11"/>
      <c r="I831" s="11" t="s">
        <v>2767</v>
      </c>
      <c r="J831" s="13"/>
    </row>
    <row r="832" spans="1:10" ht="18" customHeight="1" x14ac:dyDescent="0.25">
      <c r="A832" s="12"/>
      <c r="B832" s="11">
        <v>294</v>
      </c>
      <c r="C832" s="11" t="str">
        <f>IFERROR(VLOOKUP(B832,[1]customers!$A:$B,2,0),"")</f>
        <v>Goodyear Tire &amp; Rubber Company</v>
      </c>
      <c r="D832" s="11" t="s">
        <v>2768</v>
      </c>
      <c r="E832" s="11" t="s">
        <v>2769</v>
      </c>
      <c r="F832" s="11"/>
      <c r="G832" s="11" t="s">
        <v>2770</v>
      </c>
      <c r="H832" s="11"/>
      <c r="I832" s="11" t="s">
        <v>2771</v>
      </c>
      <c r="J832" s="13"/>
    </row>
    <row r="833" spans="1:10" ht="18" customHeight="1" x14ac:dyDescent="0.25">
      <c r="A833" s="12"/>
      <c r="B833" s="11">
        <v>294</v>
      </c>
      <c r="C833" s="11" t="str">
        <f>IFERROR(VLOOKUP(B833,[1]customers!$A:$B,2,0),"")</f>
        <v>Goodyear Tire &amp; Rubber Company</v>
      </c>
      <c r="D833" s="11" t="s">
        <v>2768</v>
      </c>
      <c r="E833" s="11" t="s">
        <v>2772</v>
      </c>
      <c r="F833" s="11"/>
      <c r="G833" s="11" t="s">
        <v>2773</v>
      </c>
      <c r="H833" s="11"/>
      <c r="I833" s="11" t="s">
        <v>2774</v>
      </c>
      <c r="J833" s="13"/>
    </row>
    <row r="834" spans="1:10" ht="18" customHeight="1" x14ac:dyDescent="0.25">
      <c r="A834" s="12"/>
      <c r="B834" s="11">
        <v>294</v>
      </c>
      <c r="C834" s="11" t="str">
        <f>IFERROR(VLOOKUP(B834,[1]customers!$A:$B,2,0),"")</f>
        <v>Goodyear Tire &amp; Rubber Company</v>
      </c>
      <c r="D834" s="11" t="s">
        <v>2768</v>
      </c>
      <c r="E834" s="11" t="s">
        <v>2775</v>
      </c>
      <c r="F834" s="11"/>
      <c r="G834" s="11" t="s">
        <v>2776</v>
      </c>
      <c r="H834" s="11">
        <v>3307960292</v>
      </c>
      <c r="I834" s="11"/>
      <c r="J834" s="13"/>
    </row>
    <row r="835" spans="1:10" ht="18" customHeight="1" x14ac:dyDescent="0.25">
      <c r="A835" s="12"/>
      <c r="B835" s="11">
        <v>294</v>
      </c>
      <c r="C835" s="11" t="str">
        <f>IFERROR(VLOOKUP(B835,[1]customers!$A:$B,2,0),"")</f>
        <v>Goodyear Tire &amp; Rubber Company</v>
      </c>
      <c r="D835" s="11" t="s">
        <v>2768</v>
      </c>
      <c r="E835" s="11" t="s">
        <v>2777</v>
      </c>
      <c r="F835" s="11"/>
      <c r="G835" s="11" t="s">
        <v>2778</v>
      </c>
      <c r="H835" s="11"/>
      <c r="I835" s="11" t="s">
        <v>2767</v>
      </c>
      <c r="J835" s="13"/>
    </row>
    <row r="836" spans="1:10" ht="18" customHeight="1" x14ac:dyDescent="0.25">
      <c r="A836" s="12"/>
      <c r="B836" s="11">
        <v>294</v>
      </c>
      <c r="C836" s="11" t="str">
        <f>IFERROR(VLOOKUP(B836,[1]customers!$A:$B,2,0),"")</f>
        <v>Goodyear Tire &amp; Rubber Company</v>
      </c>
      <c r="D836" s="11" t="s">
        <v>2768</v>
      </c>
      <c r="E836" s="11" t="s">
        <v>2779</v>
      </c>
      <c r="F836" s="11"/>
      <c r="G836" s="11" t="s">
        <v>2780</v>
      </c>
      <c r="H836" s="11" t="s">
        <v>2767</v>
      </c>
      <c r="I836" s="11"/>
      <c r="J836" s="13"/>
    </row>
    <row r="837" spans="1:10" ht="18" customHeight="1" x14ac:dyDescent="0.25">
      <c r="A837" s="12"/>
      <c r="B837" s="11">
        <v>294</v>
      </c>
      <c r="C837" s="11" t="str">
        <f>IFERROR(VLOOKUP(B837,[1]customers!$A:$B,2,0),"")</f>
        <v>Goodyear Tire &amp; Rubber Company</v>
      </c>
      <c r="D837" s="11" t="s">
        <v>2768</v>
      </c>
      <c r="E837" s="11" t="s">
        <v>2781</v>
      </c>
      <c r="F837" s="11"/>
      <c r="G837" s="11"/>
      <c r="H837" s="11"/>
      <c r="I837" s="11" t="s">
        <v>2782</v>
      </c>
      <c r="J837" s="13"/>
    </row>
    <row r="838" spans="1:10" ht="18" customHeight="1" x14ac:dyDescent="0.25">
      <c r="A838" s="12"/>
      <c r="B838" s="11">
        <v>294</v>
      </c>
      <c r="C838" s="11" t="str">
        <f>IFERROR(VLOOKUP(B838,[1]customers!$A:$B,2,0),"")</f>
        <v>Goodyear Tire &amp; Rubber Company</v>
      </c>
      <c r="D838" s="11" t="s">
        <v>2768</v>
      </c>
      <c r="E838" s="11" t="s">
        <v>2783</v>
      </c>
      <c r="F838" s="11"/>
      <c r="G838" s="11" t="s">
        <v>2784</v>
      </c>
      <c r="H838" s="11" t="s">
        <v>2785</v>
      </c>
      <c r="I838" s="11" t="s">
        <v>2786</v>
      </c>
      <c r="J838" s="13"/>
    </row>
    <row r="839" spans="1:10" ht="18" customHeight="1" x14ac:dyDescent="0.25">
      <c r="A839" s="12"/>
      <c r="B839" s="11">
        <v>294</v>
      </c>
      <c r="C839" s="11" t="str">
        <f>IFERROR(VLOOKUP(B839,[1]customers!$A:$B,2,0),"")</f>
        <v>Goodyear Tire &amp; Rubber Company</v>
      </c>
      <c r="D839" s="11" t="s">
        <v>2768</v>
      </c>
      <c r="E839" s="11" t="s">
        <v>2787</v>
      </c>
      <c r="F839" s="11"/>
      <c r="G839" s="11" t="s">
        <v>2788</v>
      </c>
      <c r="H839" s="11"/>
      <c r="I839" s="11">
        <v>3307201793</v>
      </c>
      <c r="J839" s="13"/>
    </row>
    <row r="840" spans="1:10" ht="18" customHeight="1" x14ac:dyDescent="0.25">
      <c r="A840" s="12"/>
      <c r="B840" s="11">
        <v>294</v>
      </c>
      <c r="C840" s="11" t="str">
        <f>IFERROR(VLOOKUP(B840,[1]customers!$A:$B,2,0),"")</f>
        <v>Goodyear Tire &amp; Rubber Company</v>
      </c>
      <c r="D840" s="11" t="s">
        <v>2768</v>
      </c>
      <c r="E840" s="11" t="s">
        <v>2789</v>
      </c>
      <c r="F840" s="11"/>
      <c r="G840" s="11" t="s">
        <v>2790</v>
      </c>
      <c r="H840" s="11"/>
      <c r="I840" s="11" t="s">
        <v>2791</v>
      </c>
      <c r="J840" s="13"/>
    </row>
    <row r="841" spans="1:10" ht="18" customHeight="1" x14ac:dyDescent="0.25">
      <c r="A841" s="12"/>
      <c r="B841" s="11">
        <v>294</v>
      </c>
      <c r="C841" s="11" t="str">
        <f>IFERROR(VLOOKUP(B841,[1]customers!$A:$B,2,0),"")</f>
        <v>Goodyear Tire &amp; Rubber Company</v>
      </c>
      <c r="D841" s="11" t="s">
        <v>2768</v>
      </c>
      <c r="E841" s="11" t="s">
        <v>2792</v>
      </c>
      <c r="F841" s="11"/>
      <c r="G841" s="11" t="s">
        <v>2793</v>
      </c>
      <c r="H841" s="11" t="s">
        <v>2794</v>
      </c>
      <c r="I841" s="11"/>
      <c r="J841" s="13"/>
    </row>
    <row r="842" spans="1:10" ht="18" customHeight="1" x14ac:dyDescent="0.25">
      <c r="A842" s="12"/>
      <c r="B842" s="11">
        <v>294</v>
      </c>
      <c r="C842" s="11" t="str">
        <f>IFERROR(VLOOKUP(B842,[1]customers!$A:$B,2,0),"")</f>
        <v>Goodyear Tire &amp; Rubber Company</v>
      </c>
      <c r="D842" s="11" t="s">
        <v>2768</v>
      </c>
      <c r="E842" s="11" t="s">
        <v>2795</v>
      </c>
      <c r="F842" s="11"/>
      <c r="G842" s="11" t="s">
        <v>2796</v>
      </c>
      <c r="H842" s="11"/>
      <c r="I842" s="11" t="s">
        <v>2797</v>
      </c>
      <c r="J842" s="13"/>
    </row>
    <row r="843" spans="1:10" ht="18" customHeight="1" x14ac:dyDescent="0.25">
      <c r="A843" s="12"/>
      <c r="B843" s="11">
        <v>294</v>
      </c>
      <c r="C843" s="11" t="str">
        <f>IFERROR(VLOOKUP(B843,[1]customers!$A:$B,2,0),"")</f>
        <v>Goodyear Tire &amp; Rubber Company</v>
      </c>
      <c r="D843" s="11" t="s">
        <v>2768</v>
      </c>
      <c r="E843" s="11" t="s">
        <v>2798</v>
      </c>
      <c r="F843" s="11"/>
      <c r="G843" s="11"/>
      <c r="H843" s="11"/>
      <c r="I843" s="11" t="s">
        <v>2782</v>
      </c>
      <c r="J843" s="13"/>
    </row>
    <row r="844" spans="1:10" ht="18" customHeight="1" x14ac:dyDescent="0.25">
      <c r="A844" s="12"/>
      <c r="B844" s="11">
        <v>294</v>
      </c>
      <c r="C844" s="11" t="str">
        <f>IFERROR(VLOOKUP(B844,[1]customers!$A:$B,2,0),"")</f>
        <v>Goodyear Tire &amp; Rubber Company</v>
      </c>
      <c r="D844" s="11" t="s">
        <v>2768</v>
      </c>
      <c r="E844" s="11" t="s">
        <v>2799</v>
      </c>
      <c r="F844" s="11"/>
      <c r="G844" s="11" t="s">
        <v>2800</v>
      </c>
      <c r="H844" s="11"/>
      <c r="I844" s="11" t="s">
        <v>2767</v>
      </c>
      <c r="J844" s="13"/>
    </row>
    <row r="845" spans="1:10" ht="18" customHeight="1" x14ac:dyDescent="0.25">
      <c r="A845" s="12"/>
      <c r="B845" s="11">
        <v>294</v>
      </c>
      <c r="C845" s="11" t="str">
        <f>IFERROR(VLOOKUP(B845,[1]customers!$A:$B,2,0),"")</f>
        <v>Goodyear Tire &amp; Rubber Company</v>
      </c>
      <c r="D845" s="11" t="s">
        <v>2768</v>
      </c>
      <c r="E845" s="11" t="s">
        <v>2801</v>
      </c>
      <c r="F845" s="11"/>
      <c r="G845" s="11"/>
      <c r="H845" s="11"/>
      <c r="I845" s="11"/>
      <c r="J845" s="13"/>
    </row>
    <row r="846" spans="1:10" ht="18" customHeight="1" x14ac:dyDescent="0.25">
      <c r="A846" s="12"/>
      <c r="B846" s="11">
        <v>294</v>
      </c>
      <c r="C846" s="11" t="str">
        <f>IFERROR(VLOOKUP(B846,[1]customers!$A:$B,2,0),"")</f>
        <v>Goodyear Tire &amp; Rubber Company</v>
      </c>
      <c r="D846" s="11" t="s">
        <v>2768</v>
      </c>
      <c r="E846" s="11" t="s">
        <v>2802</v>
      </c>
      <c r="F846" s="11"/>
      <c r="G846" s="11" t="s">
        <v>2803</v>
      </c>
      <c r="H846" s="11" t="s">
        <v>2804</v>
      </c>
      <c r="I846" s="11"/>
      <c r="J846" s="13"/>
    </row>
    <row r="847" spans="1:10" ht="18" customHeight="1" x14ac:dyDescent="0.25">
      <c r="A847" s="12"/>
      <c r="B847" s="11">
        <v>294</v>
      </c>
      <c r="C847" s="11" t="str">
        <f>IFERROR(VLOOKUP(B847,[1]customers!$A:$B,2,0),"")</f>
        <v>Goodyear Tire &amp; Rubber Company</v>
      </c>
      <c r="D847" s="11" t="s">
        <v>2768</v>
      </c>
      <c r="E847" s="11" t="s">
        <v>2805</v>
      </c>
      <c r="F847" s="11"/>
      <c r="G847" s="11" t="s">
        <v>2806</v>
      </c>
      <c r="H847" s="11" t="s">
        <v>2807</v>
      </c>
      <c r="I847" s="11" t="s">
        <v>2808</v>
      </c>
      <c r="J847" s="13"/>
    </row>
    <row r="848" spans="1:10" ht="18" customHeight="1" x14ac:dyDescent="0.25">
      <c r="A848" s="12"/>
      <c r="B848" s="11">
        <v>294</v>
      </c>
      <c r="C848" s="11" t="str">
        <f>IFERROR(VLOOKUP(B848,[1]customers!$A:$B,2,0),"")</f>
        <v>Goodyear Tire &amp; Rubber Company</v>
      </c>
      <c r="D848" s="11" t="s">
        <v>2768</v>
      </c>
      <c r="E848" s="11" t="s">
        <v>2809</v>
      </c>
      <c r="F848" s="11"/>
      <c r="G848" s="11" t="s">
        <v>2810</v>
      </c>
      <c r="H848" s="11"/>
      <c r="I848" s="11" t="s">
        <v>2811</v>
      </c>
      <c r="J848" s="13"/>
    </row>
    <row r="849" spans="1:10" ht="18" customHeight="1" x14ac:dyDescent="0.25">
      <c r="A849" s="12"/>
      <c r="B849" s="11">
        <v>294</v>
      </c>
      <c r="C849" s="11" t="str">
        <f>IFERROR(VLOOKUP(B849,[1]customers!$A:$B,2,0),"")</f>
        <v>Goodyear Tire &amp; Rubber Company</v>
      </c>
      <c r="D849" s="11" t="s">
        <v>2768</v>
      </c>
      <c r="E849" s="11" t="s">
        <v>2809</v>
      </c>
      <c r="F849" s="11"/>
      <c r="G849" s="11" t="s">
        <v>2812</v>
      </c>
      <c r="H849" s="11" t="s">
        <v>2811</v>
      </c>
      <c r="I849" s="11" t="s">
        <v>2813</v>
      </c>
      <c r="J849" s="13"/>
    </row>
    <row r="850" spans="1:10" ht="18" customHeight="1" x14ac:dyDescent="0.25">
      <c r="A850" s="12"/>
      <c r="B850" s="11">
        <v>294</v>
      </c>
      <c r="C850" s="11" t="str">
        <f>IFERROR(VLOOKUP(B850,[1]customers!$A:$B,2,0),"")</f>
        <v>Goodyear Tire &amp; Rubber Company</v>
      </c>
      <c r="D850" s="11" t="s">
        <v>2768</v>
      </c>
      <c r="E850" s="11" t="s">
        <v>2814</v>
      </c>
      <c r="F850" s="11"/>
      <c r="G850" s="11" t="s">
        <v>2815</v>
      </c>
      <c r="H850" s="11"/>
      <c r="I850" s="11">
        <v>3307964721</v>
      </c>
      <c r="J850" s="13"/>
    </row>
    <row r="851" spans="1:10" ht="18" customHeight="1" x14ac:dyDescent="0.25">
      <c r="A851" s="12"/>
      <c r="B851" s="11">
        <v>294</v>
      </c>
      <c r="C851" s="11" t="str">
        <f>IFERROR(VLOOKUP(B851,[1]customers!$A:$B,2,0),"")</f>
        <v>Goodyear Tire &amp; Rubber Company</v>
      </c>
      <c r="D851" s="11" t="s">
        <v>2768</v>
      </c>
      <c r="E851" s="11" t="s">
        <v>2816</v>
      </c>
      <c r="F851" s="11"/>
      <c r="G851" s="11" t="s">
        <v>2817</v>
      </c>
      <c r="H851" s="11"/>
      <c r="I851" s="11" t="s">
        <v>2818</v>
      </c>
      <c r="J851" s="13"/>
    </row>
    <row r="852" spans="1:10" ht="18" customHeight="1" x14ac:dyDescent="0.25">
      <c r="A852" s="12"/>
      <c r="B852" s="11">
        <v>294</v>
      </c>
      <c r="C852" s="11" t="str">
        <f>IFERROR(VLOOKUP(B852,[1]customers!$A:$B,2,0),"")</f>
        <v>Goodyear Tire &amp; Rubber Company</v>
      </c>
      <c r="D852" s="11" t="s">
        <v>2768</v>
      </c>
      <c r="E852" s="11" t="s">
        <v>2819</v>
      </c>
      <c r="F852" s="11"/>
      <c r="G852" s="11" t="s">
        <v>2820</v>
      </c>
      <c r="H852" s="11" t="s">
        <v>2821</v>
      </c>
      <c r="I852" s="11" t="s">
        <v>2822</v>
      </c>
      <c r="J852" s="13"/>
    </row>
    <row r="853" spans="1:10" ht="18" customHeight="1" x14ac:dyDescent="0.25">
      <c r="A853" s="12"/>
      <c r="B853" s="11">
        <v>294</v>
      </c>
      <c r="C853" s="11" t="str">
        <f>IFERROR(VLOOKUP(B853,[1]customers!$A:$B,2,0),"")</f>
        <v>Goodyear Tire &amp; Rubber Company</v>
      </c>
      <c r="D853" s="11" t="s">
        <v>2768</v>
      </c>
      <c r="E853" s="11" t="s">
        <v>2823</v>
      </c>
      <c r="F853" s="11"/>
      <c r="G853" s="11" t="s">
        <v>2824</v>
      </c>
      <c r="H853" s="11"/>
      <c r="I853" s="11">
        <v>7577844832</v>
      </c>
      <c r="J853" s="13"/>
    </row>
    <row r="854" spans="1:10" ht="18" customHeight="1" x14ac:dyDescent="0.25">
      <c r="A854" s="12"/>
      <c r="B854" s="11">
        <v>294</v>
      </c>
      <c r="C854" s="11" t="str">
        <f>IFERROR(VLOOKUP(B854,[1]customers!$A:$B,2,0),"")</f>
        <v>Goodyear Tire &amp; Rubber Company</v>
      </c>
      <c r="D854" s="11" t="s">
        <v>2768</v>
      </c>
      <c r="E854" s="11" t="s">
        <v>2825</v>
      </c>
      <c r="F854" s="11"/>
      <c r="G854" s="11" t="s">
        <v>2826</v>
      </c>
      <c r="H854" s="11"/>
      <c r="I854" s="11" t="s">
        <v>2827</v>
      </c>
      <c r="J854" s="13"/>
    </row>
    <row r="855" spans="1:10" ht="18" customHeight="1" x14ac:dyDescent="0.25">
      <c r="A855" s="12"/>
      <c r="B855" s="11">
        <v>294</v>
      </c>
      <c r="C855" s="11" t="str">
        <f>IFERROR(VLOOKUP(B855,[1]customers!$A:$B,2,0),"")</f>
        <v>Goodyear Tire &amp; Rubber Company</v>
      </c>
      <c r="D855" s="11" t="s">
        <v>2768</v>
      </c>
      <c r="E855" s="11" t="s">
        <v>2828</v>
      </c>
      <c r="F855" s="11"/>
      <c r="G855" s="11" t="s">
        <v>2829</v>
      </c>
      <c r="H855" s="11"/>
      <c r="I855" s="11" t="s">
        <v>2830</v>
      </c>
      <c r="J855" s="13"/>
    </row>
    <row r="856" spans="1:10" ht="18" customHeight="1" x14ac:dyDescent="0.25">
      <c r="A856" s="12"/>
      <c r="B856" s="11">
        <v>294</v>
      </c>
      <c r="C856" s="11" t="str">
        <f>IFERROR(VLOOKUP(B856,[1]customers!$A:$B,2,0),"")</f>
        <v>Goodyear Tire &amp; Rubber Company</v>
      </c>
      <c r="D856" s="11" t="s">
        <v>2768</v>
      </c>
      <c r="E856" s="11" t="s">
        <v>2831</v>
      </c>
      <c r="F856" s="11"/>
      <c r="G856" s="11" t="s">
        <v>2832</v>
      </c>
      <c r="H856" s="11" t="s">
        <v>2833</v>
      </c>
      <c r="I856" s="11"/>
      <c r="J856" s="13"/>
    </row>
    <row r="857" spans="1:10" ht="18" customHeight="1" x14ac:dyDescent="0.25">
      <c r="A857" s="12"/>
      <c r="B857" s="11">
        <v>294</v>
      </c>
      <c r="C857" s="11" t="str">
        <f>IFERROR(VLOOKUP(B857,[1]customers!$A:$B,2,0),"")</f>
        <v>Goodyear Tire &amp; Rubber Company</v>
      </c>
      <c r="D857" s="11" t="s">
        <v>2768</v>
      </c>
      <c r="E857" s="11" t="s">
        <v>2834</v>
      </c>
      <c r="F857" s="11"/>
      <c r="G857" s="11" t="s">
        <v>2835</v>
      </c>
      <c r="H857" s="11" t="s">
        <v>2836</v>
      </c>
      <c r="I857" s="11" t="s">
        <v>2837</v>
      </c>
      <c r="J857" s="13"/>
    </row>
    <row r="858" spans="1:10" ht="18" customHeight="1" x14ac:dyDescent="0.25">
      <c r="A858" s="12"/>
      <c r="B858" s="11">
        <v>294</v>
      </c>
      <c r="C858" s="11" t="str">
        <f>IFERROR(VLOOKUP(B858,[1]customers!$A:$B,2,0),"")</f>
        <v>Goodyear Tire &amp; Rubber Company</v>
      </c>
      <c r="D858" s="11" t="s">
        <v>2768</v>
      </c>
      <c r="E858" s="11" t="s">
        <v>2838</v>
      </c>
      <c r="F858" s="11"/>
      <c r="G858" s="11" t="s">
        <v>2839</v>
      </c>
      <c r="H858" s="11"/>
      <c r="I858" s="11" t="s">
        <v>2767</v>
      </c>
      <c r="J858" s="13"/>
    </row>
    <row r="859" spans="1:10" ht="18" customHeight="1" x14ac:dyDescent="0.25">
      <c r="A859" s="12"/>
      <c r="B859" s="11">
        <v>294</v>
      </c>
      <c r="C859" s="11" t="str">
        <f>IFERROR(VLOOKUP(B859,[1]customers!$A:$B,2,0),"")</f>
        <v>Goodyear Tire &amp; Rubber Company</v>
      </c>
      <c r="D859" s="11" t="s">
        <v>2768</v>
      </c>
      <c r="E859" s="11" t="s">
        <v>2840</v>
      </c>
      <c r="F859" s="11"/>
      <c r="G859" s="11" t="s">
        <v>2841</v>
      </c>
      <c r="H859" s="11"/>
      <c r="I859" s="11" t="s">
        <v>2767</v>
      </c>
      <c r="J859" s="13"/>
    </row>
    <row r="860" spans="1:10" ht="18" customHeight="1" x14ac:dyDescent="0.25">
      <c r="A860" s="12"/>
      <c r="B860" s="11">
        <v>294</v>
      </c>
      <c r="C860" s="11" t="str">
        <f>IFERROR(VLOOKUP(B860,[1]customers!$A:$B,2,0),"")</f>
        <v>Goodyear Tire &amp; Rubber Company</v>
      </c>
      <c r="D860" s="11" t="s">
        <v>2842</v>
      </c>
      <c r="E860" s="11" t="s">
        <v>2843</v>
      </c>
      <c r="F860" s="11"/>
      <c r="G860" s="11" t="s">
        <v>2844</v>
      </c>
      <c r="H860" s="11" t="s">
        <v>2845</v>
      </c>
      <c r="I860" s="11" t="s">
        <v>2767</v>
      </c>
      <c r="J860" s="13"/>
    </row>
    <row r="861" spans="1:10" ht="18" customHeight="1" x14ac:dyDescent="0.25">
      <c r="A861" s="12"/>
      <c r="B861" s="11">
        <v>294</v>
      </c>
      <c r="C861" s="11" t="str">
        <f>IFERROR(VLOOKUP(B861,[1]customers!$A:$B,2,0),"")</f>
        <v>Goodyear Tire &amp; Rubber Company</v>
      </c>
      <c r="D861" s="11" t="s">
        <v>2846</v>
      </c>
      <c r="E861" s="11" t="s">
        <v>2847</v>
      </c>
      <c r="F861" s="11"/>
      <c r="G861" s="11" t="s">
        <v>2848</v>
      </c>
      <c r="H861" s="11" t="s">
        <v>2849</v>
      </c>
      <c r="I861" s="11" t="s">
        <v>2850</v>
      </c>
      <c r="J861" s="13"/>
    </row>
    <row r="862" spans="1:10" ht="18" customHeight="1" x14ac:dyDescent="0.25">
      <c r="A862" s="12"/>
      <c r="B862" s="11">
        <v>294</v>
      </c>
      <c r="C862" s="11" t="str">
        <f>IFERROR(VLOOKUP(B862,[1]customers!$A:$B,2,0),"")</f>
        <v>Goodyear Tire &amp; Rubber Company</v>
      </c>
      <c r="D862" s="11" t="s">
        <v>2846</v>
      </c>
      <c r="E862" s="11" t="s">
        <v>2851</v>
      </c>
      <c r="F862" s="11"/>
      <c r="G862" s="11" t="s">
        <v>2852</v>
      </c>
      <c r="H862" s="11" t="s">
        <v>2853</v>
      </c>
      <c r="I862" s="11" t="s">
        <v>2854</v>
      </c>
      <c r="J862" s="13"/>
    </row>
    <row r="863" spans="1:10" ht="18" customHeight="1" x14ac:dyDescent="0.25">
      <c r="A863" s="12"/>
      <c r="B863" s="11">
        <v>294</v>
      </c>
      <c r="C863" s="11" t="str">
        <f>IFERROR(VLOOKUP(B863,[1]customers!$A:$B,2,0),"")</f>
        <v>Goodyear Tire &amp; Rubber Company</v>
      </c>
      <c r="D863" s="11" t="s">
        <v>2846</v>
      </c>
      <c r="E863" s="11" t="s">
        <v>2855</v>
      </c>
      <c r="F863" s="11"/>
      <c r="G863" s="11" t="s">
        <v>2856</v>
      </c>
      <c r="H863" s="11" t="s">
        <v>2857</v>
      </c>
      <c r="I863" s="11" t="s">
        <v>2858</v>
      </c>
      <c r="J863" s="13"/>
    </row>
    <row r="864" spans="1:10" ht="18" customHeight="1" x14ac:dyDescent="0.25">
      <c r="A864" s="12"/>
      <c r="B864" s="11">
        <v>294</v>
      </c>
      <c r="C864" s="11" t="str">
        <f>IFERROR(VLOOKUP(B864,[1]customers!$A:$B,2,0),"")</f>
        <v>Goodyear Tire &amp; Rubber Company</v>
      </c>
      <c r="D864" s="11" t="s">
        <v>2846</v>
      </c>
      <c r="E864" s="11" t="s">
        <v>2859</v>
      </c>
      <c r="F864" s="11"/>
      <c r="G864" s="11"/>
      <c r="H864" s="11" t="s">
        <v>2860</v>
      </c>
      <c r="I864" s="11" t="s">
        <v>2861</v>
      </c>
      <c r="J864" s="13"/>
    </row>
    <row r="865" spans="1:10" ht="18" customHeight="1" x14ac:dyDescent="0.25">
      <c r="A865" s="12"/>
      <c r="B865" s="11">
        <v>294</v>
      </c>
      <c r="C865" s="11" t="str">
        <f>IFERROR(VLOOKUP(B865,[1]customers!$A:$B,2,0),"")</f>
        <v>Goodyear Tire &amp; Rubber Company</v>
      </c>
      <c r="D865" s="11" t="s">
        <v>2846</v>
      </c>
      <c r="E865" s="11" t="s">
        <v>2862</v>
      </c>
      <c r="F865" s="11"/>
      <c r="G865" s="11" t="s">
        <v>2863</v>
      </c>
      <c r="H865" s="11"/>
      <c r="I865" s="11" t="s">
        <v>2864</v>
      </c>
      <c r="J865" s="13"/>
    </row>
    <row r="866" spans="1:10" ht="18" customHeight="1" x14ac:dyDescent="0.25">
      <c r="A866" s="12"/>
      <c r="B866" s="11">
        <v>294</v>
      </c>
      <c r="C866" s="11" t="str">
        <f>IFERROR(VLOOKUP(B866,[1]customers!$A:$B,2,0),"")</f>
        <v>Goodyear Tire &amp; Rubber Company</v>
      </c>
      <c r="D866" s="11" t="s">
        <v>2846</v>
      </c>
      <c r="E866" s="11" t="s">
        <v>2865</v>
      </c>
      <c r="F866" s="11"/>
      <c r="G866" s="11" t="s">
        <v>2866</v>
      </c>
      <c r="H866" s="11"/>
      <c r="I866" s="11" t="s">
        <v>2867</v>
      </c>
      <c r="J866" s="13"/>
    </row>
    <row r="867" spans="1:10" ht="18" customHeight="1" x14ac:dyDescent="0.25">
      <c r="A867" s="12"/>
      <c r="B867" s="11">
        <v>294</v>
      </c>
      <c r="C867" s="11" t="str">
        <f>IFERROR(VLOOKUP(B867,[1]customers!$A:$B,2,0),"")</f>
        <v>Goodyear Tire &amp; Rubber Company</v>
      </c>
      <c r="D867" s="11" t="s">
        <v>2846</v>
      </c>
      <c r="E867" s="11" t="s">
        <v>2868</v>
      </c>
      <c r="F867" s="11"/>
      <c r="G867" s="11" t="s">
        <v>2869</v>
      </c>
      <c r="H867" s="11" t="s">
        <v>2870</v>
      </c>
      <c r="I867" s="11" t="s">
        <v>2871</v>
      </c>
      <c r="J867" s="13"/>
    </row>
    <row r="868" spans="1:10" ht="18" customHeight="1" x14ac:dyDescent="0.25">
      <c r="A868" s="12"/>
      <c r="B868" s="11">
        <v>294</v>
      </c>
      <c r="C868" s="11" t="str">
        <f>IFERROR(VLOOKUP(B868,[1]customers!$A:$B,2,0),"")</f>
        <v>Goodyear Tire &amp; Rubber Company</v>
      </c>
      <c r="D868" s="11" t="s">
        <v>2872</v>
      </c>
      <c r="E868" s="11" t="s">
        <v>2873</v>
      </c>
      <c r="F868" s="11"/>
      <c r="G868" s="11"/>
      <c r="H868" s="11"/>
      <c r="I868" s="11" t="s">
        <v>2874</v>
      </c>
      <c r="J868" s="13"/>
    </row>
    <row r="869" spans="1:10" ht="18" customHeight="1" x14ac:dyDescent="0.25">
      <c r="A869" s="12"/>
      <c r="B869" s="11">
        <v>294</v>
      </c>
      <c r="C869" s="11" t="str">
        <f>IFERROR(VLOOKUP(B869,[1]customers!$A:$B,2,0),"")</f>
        <v>Goodyear Tire &amp; Rubber Company</v>
      </c>
      <c r="D869" s="11" t="s">
        <v>2872</v>
      </c>
      <c r="E869" s="11" t="s">
        <v>2875</v>
      </c>
      <c r="F869" s="11"/>
      <c r="G869" s="11" t="s">
        <v>2876</v>
      </c>
      <c r="H869" s="11"/>
      <c r="I869" s="11" t="s">
        <v>2877</v>
      </c>
      <c r="J869" s="13"/>
    </row>
    <row r="870" spans="1:10" ht="18" customHeight="1" x14ac:dyDescent="0.25">
      <c r="A870" s="12"/>
      <c r="B870" s="11">
        <v>294</v>
      </c>
      <c r="C870" s="11" t="str">
        <f>IFERROR(VLOOKUP(B870,[1]customers!$A:$B,2,0),"")</f>
        <v>Goodyear Tire &amp; Rubber Company</v>
      </c>
      <c r="D870" s="11" t="s">
        <v>2878</v>
      </c>
      <c r="E870" s="11" t="s">
        <v>2879</v>
      </c>
      <c r="F870" s="11"/>
      <c r="G870" s="11" t="s">
        <v>2880</v>
      </c>
      <c r="H870" s="11" t="s">
        <v>2881</v>
      </c>
      <c r="I870" s="11" t="s">
        <v>2882</v>
      </c>
      <c r="J870" s="13"/>
    </row>
    <row r="871" spans="1:10" ht="18" customHeight="1" x14ac:dyDescent="0.25">
      <c r="A871" s="12"/>
      <c r="B871" s="11">
        <v>294</v>
      </c>
      <c r="C871" s="11" t="str">
        <f>IFERROR(VLOOKUP(B871,[1]customers!$A:$B,2,0),"")</f>
        <v>Goodyear Tire &amp; Rubber Company</v>
      </c>
      <c r="D871" s="11" t="s">
        <v>2878</v>
      </c>
      <c r="E871" s="11" t="s">
        <v>2879</v>
      </c>
      <c r="F871" s="11"/>
      <c r="G871" s="11" t="s">
        <v>2880</v>
      </c>
      <c r="H871" s="11"/>
      <c r="I871" s="11" t="s">
        <v>2881</v>
      </c>
      <c r="J871" s="13"/>
    </row>
    <row r="872" spans="1:10" ht="18" customHeight="1" x14ac:dyDescent="0.25">
      <c r="A872" s="12"/>
      <c r="B872" s="11">
        <v>294</v>
      </c>
      <c r="C872" s="11" t="str">
        <f>IFERROR(VLOOKUP(B872,[1]customers!$A:$B,2,0),"")</f>
        <v>Goodyear Tire &amp; Rubber Company</v>
      </c>
      <c r="D872" s="11" t="s">
        <v>2878</v>
      </c>
      <c r="E872" s="11" t="s">
        <v>2883</v>
      </c>
      <c r="F872" s="11"/>
      <c r="G872" s="11"/>
      <c r="H872" s="11"/>
      <c r="I872" s="11" t="s">
        <v>2884</v>
      </c>
      <c r="J872" s="13"/>
    </row>
    <row r="873" spans="1:10" ht="18" customHeight="1" x14ac:dyDescent="0.25">
      <c r="A873" s="12"/>
      <c r="B873" s="11">
        <v>294</v>
      </c>
      <c r="C873" s="11" t="str">
        <f>IFERROR(VLOOKUP(B873,[1]customers!$A:$B,2,0),"")</f>
        <v>Goodyear Tire &amp; Rubber Company</v>
      </c>
      <c r="D873" s="11" t="s">
        <v>2878</v>
      </c>
      <c r="E873" s="11" t="s">
        <v>2885</v>
      </c>
      <c r="F873" s="11"/>
      <c r="G873" s="11" t="s">
        <v>2886</v>
      </c>
      <c r="H873" s="11"/>
      <c r="I873" s="11"/>
      <c r="J873" s="13"/>
    </row>
    <row r="874" spans="1:10" ht="18" customHeight="1" x14ac:dyDescent="0.25">
      <c r="A874" s="12"/>
      <c r="B874" s="11">
        <v>294</v>
      </c>
      <c r="C874" s="11" t="str">
        <f>IFERROR(VLOOKUP(B874,[1]customers!$A:$B,2,0),"")</f>
        <v>Goodyear Tire &amp; Rubber Company</v>
      </c>
      <c r="D874" s="11" t="s">
        <v>2887</v>
      </c>
      <c r="E874" s="11" t="s">
        <v>2888</v>
      </c>
      <c r="F874" s="11"/>
      <c r="G874" s="11" t="s">
        <v>2889</v>
      </c>
      <c r="H874" s="11" t="s">
        <v>2890</v>
      </c>
      <c r="I874" s="11" t="s">
        <v>2891</v>
      </c>
      <c r="J874" s="13"/>
    </row>
    <row r="875" spans="1:10" ht="18" customHeight="1" x14ac:dyDescent="0.25">
      <c r="A875" s="12"/>
      <c r="B875" s="11">
        <v>378</v>
      </c>
      <c r="C875" s="11" t="str">
        <f>IFERROR(VLOOKUP(B875,[1]customers!$A:$B,2,0),"")</f>
        <v>Kobelco</v>
      </c>
      <c r="D875" s="11" t="s">
        <v>2892</v>
      </c>
      <c r="E875" s="11" t="s">
        <v>2893</v>
      </c>
      <c r="F875" s="11"/>
      <c r="G875" s="11" t="s">
        <v>2894</v>
      </c>
      <c r="H875" s="11"/>
      <c r="I875" s="11" t="s">
        <v>2895</v>
      </c>
      <c r="J875" s="13"/>
    </row>
    <row r="876" spans="1:10" ht="18" customHeight="1" x14ac:dyDescent="0.25">
      <c r="A876" s="12"/>
      <c r="B876" s="11">
        <v>378</v>
      </c>
      <c r="C876" s="11" t="str">
        <f>IFERROR(VLOOKUP(B876,[1]customers!$A:$B,2,0),"")</f>
        <v>Kobelco</v>
      </c>
      <c r="D876" s="11" t="s">
        <v>2892</v>
      </c>
      <c r="E876" s="11" t="s">
        <v>1113</v>
      </c>
      <c r="F876" s="11"/>
      <c r="G876" s="11"/>
      <c r="H876" s="11" t="s">
        <v>2896</v>
      </c>
      <c r="I876" s="11" t="s">
        <v>2897</v>
      </c>
      <c r="J876" s="13"/>
    </row>
    <row r="877" spans="1:10" ht="18" customHeight="1" x14ac:dyDescent="0.25">
      <c r="A877" s="12"/>
      <c r="B877" s="11">
        <v>378</v>
      </c>
      <c r="C877" s="11" t="str">
        <f>IFERROR(VLOOKUP(B877,[1]customers!$A:$B,2,0),"")</f>
        <v>Kobelco</v>
      </c>
      <c r="D877" s="11" t="s">
        <v>2892</v>
      </c>
      <c r="E877" s="11" t="s">
        <v>2898</v>
      </c>
      <c r="F877" s="11"/>
      <c r="G877" s="11" t="s">
        <v>2899</v>
      </c>
      <c r="H877" s="11"/>
      <c r="I877" s="11" t="s">
        <v>2900</v>
      </c>
      <c r="J877" s="13"/>
    </row>
    <row r="878" spans="1:10" ht="18" customHeight="1" x14ac:dyDescent="0.25">
      <c r="A878" s="12"/>
      <c r="B878" s="11">
        <v>378</v>
      </c>
      <c r="C878" s="11" t="str">
        <f>IFERROR(VLOOKUP(B878,[1]customers!$A:$B,2,0),"")</f>
        <v>Kobelco</v>
      </c>
      <c r="D878" s="11" t="s">
        <v>2892</v>
      </c>
      <c r="E878" s="11" t="s">
        <v>2901</v>
      </c>
      <c r="F878" s="11"/>
      <c r="G878" s="11" t="s">
        <v>2902</v>
      </c>
      <c r="H878" s="11" t="s">
        <v>2903</v>
      </c>
      <c r="I878" s="11"/>
      <c r="J878" s="13"/>
    </row>
    <row r="879" spans="1:10" ht="18" customHeight="1" x14ac:dyDescent="0.25">
      <c r="A879" s="12"/>
      <c r="B879" s="11">
        <v>378</v>
      </c>
      <c r="C879" s="11" t="str">
        <f>IFERROR(VLOOKUP(B879,[1]customers!$A:$B,2,0),"")</f>
        <v>Kobelco</v>
      </c>
      <c r="D879" s="11" t="s">
        <v>2892</v>
      </c>
      <c r="E879" s="11" t="s">
        <v>2904</v>
      </c>
      <c r="F879" s="11"/>
      <c r="G879" s="11" t="s">
        <v>2905</v>
      </c>
      <c r="H879" s="11"/>
      <c r="I879" s="11" t="s">
        <v>2906</v>
      </c>
      <c r="J879" s="13"/>
    </row>
    <row r="880" spans="1:10" ht="18" customHeight="1" x14ac:dyDescent="0.25">
      <c r="A880" s="12"/>
      <c r="B880" s="11">
        <v>378</v>
      </c>
      <c r="C880" s="11" t="str">
        <f>IFERROR(VLOOKUP(B880,[1]customers!$A:$B,2,0),"")</f>
        <v>Kobelco</v>
      </c>
      <c r="D880" s="11" t="s">
        <v>2892</v>
      </c>
      <c r="E880" s="11" t="s">
        <v>2907</v>
      </c>
      <c r="F880" s="11"/>
      <c r="G880" s="11" t="s">
        <v>2908</v>
      </c>
      <c r="H880" s="11"/>
      <c r="I880" s="11" t="s">
        <v>2909</v>
      </c>
      <c r="J880" s="13"/>
    </row>
    <row r="881" spans="1:10" ht="18" customHeight="1" x14ac:dyDescent="0.25">
      <c r="A881" s="12"/>
      <c r="B881" s="11">
        <v>378</v>
      </c>
      <c r="C881" s="11" t="str">
        <f>IFERROR(VLOOKUP(B881,[1]customers!$A:$B,2,0),"")</f>
        <v>Kobelco</v>
      </c>
      <c r="D881" s="11" t="s">
        <v>2892</v>
      </c>
      <c r="E881" s="11" t="s">
        <v>2910</v>
      </c>
      <c r="F881" s="11"/>
      <c r="G881" s="11" t="s">
        <v>2911</v>
      </c>
      <c r="H881" s="11"/>
      <c r="I881" s="11" t="s">
        <v>2912</v>
      </c>
      <c r="J881" s="13"/>
    </row>
    <row r="882" spans="1:10" ht="18" customHeight="1" x14ac:dyDescent="0.25">
      <c r="A882" s="12"/>
      <c r="B882" s="11">
        <v>378</v>
      </c>
      <c r="C882" s="11" t="str">
        <f>IFERROR(VLOOKUP(B882,[1]customers!$A:$B,2,0),"")</f>
        <v>Kobelco</v>
      </c>
      <c r="D882" s="11" t="s">
        <v>2892</v>
      </c>
      <c r="E882" s="11" t="s">
        <v>2913</v>
      </c>
      <c r="F882" s="11"/>
      <c r="G882" s="11" t="s">
        <v>2914</v>
      </c>
      <c r="H882" s="11"/>
      <c r="I882" s="11" t="s">
        <v>2915</v>
      </c>
      <c r="J882" s="13"/>
    </row>
    <row r="883" spans="1:10" ht="18" customHeight="1" x14ac:dyDescent="0.25">
      <c r="A883" s="12"/>
      <c r="B883" s="11">
        <v>378</v>
      </c>
      <c r="C883" s="11" t="str">
        <f>IFERROR(VLOOKUP(B883,[1]customers!$A:$B,2,0),"")</f>
        <v>Kobelco</v>
      </c>
      <c r="D883" s="11" t="s">
        <v>2892</v>
      </c>
      <c r="E883" s="11" t="s">
        <v>2916</v>
      </c>
      <c r="F883" s="11"/>
      <c r="G883" s="11" t="s">
        <v>2917</v>
      </c>
      <c r="H883" s="11"/>
      <c r="I883" s="11" t="s">
        <v>2918</v>
      </c>
      <c r="J883" s="13"/>
    </row>
    <row r="884" spans="1:10" ht="18" customHeight="1" x14ac:dyDescent="0.25">
      <c r="A884" s="12"/>
      <c r="B884" s="11">
        <v>378</v>
      </c>
      <c r="C884" s="11" t="str">
        <f>IFERROR(VLOOKUP(B884,[1]customers!$A:$B,2,0),"")</f>
        <v>Kobelco</v>
      </c>
      <c r="D884" s="11" t="s">
        <v>2892</v>
      </c>
      <c r="E884" s="11" t="s">
        <v>2919</v>
      </c>
      <c r="F884" s="11"/>
      <c r="G884" s="11"/>
      <c r="H884" s="11"/>
      <c r="I884" s="11"/>
      <c r="J884" s="13"/>
    </row>
    <row r="885" spans="1:10" ht="18" customHeight="1" x14ac:dyDescent="0.25">
      <c r="A885" s="12"/>
      <c r="B885" s="11">
        <v>378</v>
      </c>
      <c r="C885" s="11" t="str">
        <f>IFERROR(VLOOKUP(B885,[1]customers!$A:$B,2,0),"")</f>
        <v>Kobelco</v>
      </c>
      <c r="D885" s="11" t="s">
        <v>2892</v>
      </c>
      <c r="E885" s="11" t="s">
        <v>2920</v>
      </c>
      <c r="F885" s="11"/>
      <c r="G885" s="11"/>
      <c r="H885" s="11"/>
      <c r="I885" s="11"/>
      <c r="J885" s="13"/>
    </row>
    <row r="886" spans="1:10" ht="18" customHeight="1" x14ac:dyDescent="0.25">
      <c r="A886" s="12"/>
      <c r="B886" s="11">
        <v>381</v>
      </c>
      <c r="C886" s="11" t="str">
        <f>IFERROR(VLOOKUP(B886,[1]customers!$A:$B,2,0),"")</f>
        <v>Krauss-Maffei</v>
      </c>
      <c r="D886" s="11" t="s">
        <v>2921</v>
      </c>
      <c r="E886" s="11" t="s">
        <v>2922</v>
      </c>
      <c r="F886" s="11"/>
      <c r="G886" s="11" t="s">
        <v>2923</v>
      </c>
      <c r="H886" s="11" t="s">
        <v>2924</v>
      </c>
      <c r="I886" s="11" t="s">
        <v>2925</v>
      </c>
      <c r="J886" s="13"/>
    </row>
    <row r="887" spans="1:10" ht="18" customHeight="1" x14ac:dyDescent="0.25">
      <c r="A887" s="12"/>
      <c r="B887" s="11">
        <v>406</v>
      </c>
      <c r="C887" s="11" t="str">
        <f>IFERROR(VLOOKUP(B887,[1]customers!$A:$B,2,0),"")</f>
        <v>Magna</v>
      </c>
      <c r="D887" s="11" t="s">
        <v>2926</v>
      </c>
      <c r="E887" s="11" t="s">
        <v>2927</v>
      </c>
      <c r="F887" s="11"/>
      <c r="G887" s="11" t="s">
        <v>2928</v>
      </c>
      <c r="H887" s="11"/>
      <c r="I887" s="11" t="s">
        <v>2929</v>
      </c>
      <c r="J887" s="13"/>
    </row>
    <row r="888" spans="1:10" ht="18" customHeight="1" x14ac:dyDescent="0.25">
      <c r="A888" s="12"/>
      <c r="B888" s="11">
        <v>406</v>
      </c>
      <c r="C888" s="11" t="str">
        <f>IFERROR(VLOOKUP(B888,[1]customers!$A:$B,2,0),"")</f>
        <v>Magna</v>
      </c>
      <c r="D888" s="11" t="s">
        <v>2926</v>
      </c>
      <c r="E888" s="11" t="s">
        <v>2930</v>
      </c>
      <c r="F888" s="11"/>
      <c r="G888" s="11" t="s">
        <v>2931</v>
      </c>
      <c r="H888" s="11"/>
      <c r="I888" s="11" t="s">
        <v>2932</v>
      </c>
      <c r="J888" s="13"/>
    </row>
    <row r="889" spans="1:10" ht="18" customHeight="1" x14ac:dyDescent="0.25">
      <c r="A889" s="12"/>
      <c r="B889" s="11">
        <v>411</v>
      </c>
      <c r="C889" s="11" t="str">
        <f>IFERROR(VLOOKUP(B889,[1]customers!$A:$B,2,0),"")</f>
        <v>Maxion-Hayes Lemmerz International</v>
      </c>
      <c r="D889" s="11" t="s">
        <v>2933</v>
      </c>
      <c r="E889" s="11" t="s">
        <v>2934</v>
      </c>
      <c r="F889" s="11"/>
      <c r="G889" s="11" t="s">
        <v>2935</v>
      </c>
      <c r="H889" s="11"/>
      <c r="I889" s="11" t="s">
        <v>2936</v>
      </c>
      <c r="J889" s="13"/>
    </row>
    <row r="890" spans="1:10" ht="18" customHeight="1" x14ac:dyDescent="0.25">
      <c r="A890" s="12"/>
      <c r="B890" s="11">
        <v>411</v>
      </c>
      <c r="C890" s="11" t="str">
        <f>IFERROR(VLOOKUP(B890,[1]customers!$A:$B,2,0),"")</f>
        <v>Maxion-Hayes Lemmerz International</v>
      </c>
      <c r="D890" s="11" t="s">
        <v>2933</v>
      </c>
      <c r="E890" s="11" t="s">
        <v>2937</v>
      </c>
      <c r="F890" s="11"/>
      <c r="G890" s="11" t="s">
        <v>2938</v>
      </c>
      <c r="H890" s="11" t="s">
        <v>2939</v>
      </c>
      <c r="I890" s="11"/>
      <c r="J890" s="13"/>
    </row>
    <row r="891" spans="1:10" ht="18" customHeight="1" x14ac:dyDescent="0.25">
      <c r="A891" s="12"/>
      <c r="B891" s="11">
        <v>411</v>
      </c>
      <c r="C891" s="11" t="str">
        <f>IFERROR(VLOOKUP(B891,[1]customers!$A:$B,2,0),"")</f>
        <v>Maxion-Hayes Lemmerz International</v>
      </c>
      <c r="D891" s="11" t="s">
        <v>2933</v>
      </c>
      <c r="E891" s="11" t="s">
        <v>2940</v>
      </c>
      <c r="F891" s="11"/>
      <c r="G891" s="11" t="s">
        <v>2941</v>
      </c>
      <c r="H891" s="11" t="s">
        <v>2942</v>
      </c>
      <c r="I891" s="11"/>
      <c r="J891" s="13"/>
    </row>
    <row r="892" spans="1:10" ht="18" customHeight="1" x14ac:dyDescent="0.25">
      <c r="A892" s="12"/>
      <c r="B892" s="11">
        <v>411</v>
      </c>
      <c r="C892" s="11" t="str">
        <f>IFERROR(VLOOKUP(B892,[1]customers!$A:$B,2,0),"")</f>
        <v>Maxion-Hayes Lemmerz International</v>
      </c>
      <c r="D892" s="11" t="s">
        <v>2933</v>
      </c>
      <c r="E892" s="11" t="s">
        <v>2943</v>
      </c>
      <c r="F892" s="11"/>
      <c r="G892" s="11" t="s">
        <v>2944</v>
      </c>
      <c r="H892" s="11" t="s">
        <v>2945</v>
      </c>
      <c r="I892" s="11" t="s">
        <v>2253</v>
      </c>
      <c r="J892" s="13"/>
    </row>
    <row r="893" spans="1:10" ht="18" customHeight="1" x14ac:dyDescent="0.25">
      <c r="A893" s="12"/>
      <c r="B893" s="11">
        <v>411</v>
      </c>
      <c r="C893" s="11" t="str">
        <f>IFERROR(VLOOKUP(B893,[1]customers!$A:$B,2,0),"")</f>
        <v>Maxion-Hayes Lemmerz International</v>
      </c>
      <c r="D893" s="11" t="s">
        <v>2933</v>
      </c>
      <c r="E893" s="11" t="s">
        <v>2946</v>
      </c>
      <c r="F893" s="11"/>
      <c r="G893" s="11" t="s">
        <v>2947</v>
      </c>
      <c r="H893" s="11" t="s">
        <v>2948</v>
      </c>
      <c r="I893" s="11" t="s">
        <v>2949</v>
      </c>
      <c r="J893" s="13"/>
    </row>
    <row r="894" spans="1:10" ht="18" customHeight="1" x14ac:dyDescent="0.25">
      <c r="A894" s="12"/>
      <c r="B894" s="11">
        <v>411</v>
      </c>
      <c r="C894" s="11" t="str">
        <f>IFERROR(VLOOKUP(B894,[1]customers!$A:$B,2,0),"")</f>
        <v>Maxion-Hayes Lemmerz International</v>
      </c>
      <c r="D894" s="11" t="s">
        <v>2933</v>
      </c>
      <c r="E894" s="11" t="s">
        <v>2950</v>
      </c>
      <c r="F894" s="11"/>
      <c r="G894" s="11" t="s">
        <v>2951</v>
      </c>
      <c r="H894" s="11" t="s">
        <v>2952</v>
      </c>
      <c r="I894" s="11"/>
      <c r="J894" s="13"/>
    </row>
    <row r="895" spans="1:10" ht="18" customHeight="1" x14ac:dyDescent="0.25">
      <c r="A895" s="12"/>
      <c r="B895" s="11">
        <v>411</v>
      </c>
      <c r="C895" s="11" t="str">
        <f>IFERROR(VLOOKUP(B895,[1]customers!$A:$B,2,0),"")</f>
        <v>Maxion-Hayes Lemmerz International</v>
      </c>
      <c r="D895" s="11" t="s">
        <v>2933</v>
      </c>
      <c r="E895" s="11" t="s">
        <v>2950</v>
      </c>
      <c r="F895" s="11"/>
      <c r="G895" s="11" t="s">
        <v>2951</v>
      </c>
      <c r="H895" s="11"/>
      <c r="I895" s="11" t="s">
        <v>2953</v>
      </c>
      <c r="J895" s="13"/>
    </row>
    <row r="896" spans="1:10" ht="18" customHeight="1" x14ac:dyDescent="0.25">
      <c r="A896" s="12"/>
      <c r="B896" s="11">
        <v>411</v>
      </c>
      <c r="C896" s="11" t="str">
        <f>IFERROR(VLOOKUP(B896,[1]customers!$A:$B,2,0),"")</f>
        <v>Maxion-Hayes Lemmerz International</v>
      </c>
      <c r="D896" s="11" t="s">
        <v>2933</v>
      </c>
      <c r="E896" s="11" t="s">
        <v>2954</v>
      </c>
      <c r="F896" s="11"/>
      <c r="G896" s="11"/>
      <c r="H896" s="11"/>
      <c r="I896" s="11" t="s">
        <v>2936</v>
      </c>
      <c r="J896" s="13"/>
    </row>
    <row r="897" spans="1:10" ht="18" customHeight="1" x14ac:dyDescent="0.25">
      <c r="A897" s="12"/>
      <c r="B897" s="11">
        <v>411</v>
      </c>
      <c r="C897" s="11" t="str">
        <f>IFERROR(VLOOKUP(B897,[1]customers!$A:$B,2,0),"")</f>
        <v>Maxion-Hayes Lemmerz International</v>
      </c>
      <c r="D897" s="11" t="s">
        <v>2933</v>
      </c>
      <c r="E897" s="11" t="s">
        <v>2955</v>
      </c>
      <c r="F897" s="11"/>
      <c r="G897" s="11" t="s">
        <v>2956</v>
      </c>
      <c r="H897" s="11" t="s">
        <v>2957</v>
      </c>
      <c r="I897" s="11" t="s">
        <v>2936</v>
      </c>
      <c r="J897" s="13"/>
    </row>
    <row r="898" spans="1:10" ht="18" customHeight="1" x14ac:dyDescent="0.25">
      <c r="A898" s="12"/>
      <c r="B898" s="11">
        <v>411</v>
      </c>
      <c r="C898" s="11" t="str">
        <f>IFERROR(VLOOKUP(B898,[1]customers!$A:$B,2,0),"")</f>
        <v>Maxion-Hayes Lemmerz International</v>
      </c>
      <c r="D898" s="11" t="s">
        <v>2933</v>
      </c>
      <c r="E898" s="11" t="s">
        <v>2009</v>
      </c>
      <c r="F898" s="11"/>
      <c r="G898" s="11"/>
      <c r="H898" s="11"/>
      <c r="I898" s="11"/>
      <c r="J898" s="13"/>
    </row>
    <row r="899" spans="1:10" ht="18" customHeight="1" x14ac:dyDescent="0.25">
      <c r="A899" s="12"/>
      <c r="B899" s="11">
        <v>418</v>
      </c>
      <c r="C899" s="11" t="str">
        <f>IFERROR(VLOOKUP(B899,[1]customers!$A:$B,2,0),"")</f>
        <v>Mesnac</v>
      </c>
      <c r="D899" s="11" t="s">
        <v>2958</v>
      </c>
      <c r="E899" s="11" t="s">
        <v>2959</v>
      </c>
      <c r="F899" s="11"/>
      <c r="G899" s="11" t="s">
        <v>2960</v>
      </c>
      <c r="H899" s="11" t="s">
        <v>2961</v>
      </c>
      <c r="I899" s="11"/>
      <c r="J899" s="13"/>
    </row>
    <row r="900" spans="1:10" ht="18" customHeight="1" x14ac:dyDescent="0.25">
      <c r="A900" s="12"/>
      <c r="B900" s="11">
        <v>418</v>
      </c>
      <c r="C900" s="11" t="str">
        <f>IFERROR(VLOOKUP(B900,[1]customers!$A:$B,2,0),"")</f>
        <v>Mesnac</v>
      </c>
      <c r="D900" s="11" t="s">
        <v>2958</v>
      </c>
      <c r="E900" s="11" t="s">
        <v>2962</v>
      </c>
      <c r="F900" s="11"/>
      <c r="G900" s="11" t="s">
        <v>2963</v>
      </c>
      <c r="H900" s="11" t="s">
        <v>2964</v>
      </c>
      <c r="I900" s="11" t="s">
        <v>2965</v>
      </c>
      <c r="J900" s="13"/>
    </row>
    <row r="901" spans="1:10" ht="18" customHeight="1" x14ac:dyDescent="0.25">
      <c r="A901" s="12"/>
      <c r="B901" s="11">
        <v>438</v>
      </c>
      <c r="C901" s="11" t="str">
        <f>IFERROR(VLOOKUP(B901,[1]customers!$A:$B,2,0),"")</f>
        <v>Momentous Mold &amp; Machine</v>
      </c>
      <c r="D901" s="11" t="s">
        <v>2966</v>
      </c>
      <c r="E901" s="11" t="s">
        <v>2967</v>
      </c>
      <c r="F901" s="11"/>
      <c r="G901" s="11" t="s">
        <v>2968</v>
      </c>
      <c r="H901" s="11"/>
      <c r="I901" s="11">
        <v>3309235266</v>
      </c>
      <c r="J901" s="13"/>
    </row>
    <row r="902" spans="1:10" ht="18" customHeight="1" x14ac:dyDescent="0.25">
      <c r="A902" s="12"/>
      <c r="B902" s="11">
        <v>438</v>
      </c>
      <c r="C902" s="11" t="str">
        <f>IFERROR(VLOOKUP(B902,[1]customers!$A:$B,2,0),"")</f>
        <v>Momentous Mold &amp; Machine</v>
      </c>
      <c r="D902" s="11" t="s">
        <v>2966</v>
      </c>
      <c r="E902" s="11" t="s">
        <v>2967</v>
      </c>
      <c r="F902" s="11"/>
      <c r="G902" s="11" t="s">
        <v>2969</v>
      </c>
      <c r="H902" s="11"/>
      <c r="I902" s="11" t="s">
        <v>2970</v>
      </c>
      <c r="J902" s="13"/>
    </row>
    <row r="903" spans="1:10" ht="18" customHeight="1" x14ac:dyDescent="0.25">
      <c r="A903" s="12"/>
      <c r="B903" s="11">
        <v>473</v>
      </c>
      <c r="C903" s="11" t="str">
        <f>IFERROR(VLOOKUP(B903,[1]customers!$A:$B,2,0),"")</f>
        <v>OEM Tube Assemblies</v>
      </c>
      <c r="D903" s="11" t="s">
        <v>2971</v>
      </c>
      <c r="E903" s="11" t="s">
        <v>2972</v>
      </c>
      <c r="F903" s="11"/>
      <c r="G903" s="11" t="s">
        <v>2973</v>
      </c>
      <c r="H903" s="11"/>
      <c r="I903" s="11"/>
      <c r="J903" s="13"/>
    </row>
    <row r="904" spans="1:10" ht="18" customHeight="1" x14ac:dyDescent="0.25">
      <c r="A904" s="12"/>
      <c r="B904" s="11">
        <v>34</v>
      </c>
      <c r="C904" s="11" t="str">
        <f>IFERROR(VLOOKUP(B904,[1]customers!$A:$B,2,0),"")</f>
        <v>Alliance Tubular Products LLC</v>
      </c>
      <c r="D904" s="11" t="s">
        <v>2974</v>
      </c>
      <c r="E904" s="11" t="s">
        <v>2975</v>
      </c>
      <c r="F904" s="11"/>
      <c r="G904" s="11" t="s">
        <v>2976</v>
      </c>
      <c r="H904" s="11"/>
      <c r="I904" s="11">
        <v>3308295285</v>
      </c>
      <c r="J904" s="13"/>
    </row>
    <row r="905" spans="1:10" ht="18" customHeight="1" x14ac:dyDescent="0.25">
      <c r="A905" s="12"/>
      <c r="B905" s="11">
        <v>34</v>
      </c>
      <c r="C905" s="11" t="str">
        <f>IFERROR(VLOOKUP(B905,[1]customers!$A:$B,2,0),"")</f>
        <v>Alliance Tubular Products LLC</v>
      </c>
      <c r="D905" s="11" t="s">
        <v>2974</v>
      </c>
      <c r="E905" s="11" t="s">
        <v>2977</v>
      </c>
      <c r="F905" s="11"/>
      <c r="G905" s="11" t="s">
        <v>2978</v>
      </c>
      <c r="H905" s="11"/>
      <c r="I905" s="11">
        <v>7243591756</v>
      </c>
      <c r="J905" s="13"/>
    </row>
    <row r="906" spans="1:10" ht="18" customHeight="1" x14ac:dyDescent="0.25">
      <c r="A906" s="12"/>
      <c r="B906" s="11">
        <v>34</v>
      </c>
      <c r="C906" s="11" t="str">
        <f>IFERROR(VLOOKUP(B906,[1]customers!$A:$B,2,0),"")</f>
        <v>Alliance Tubular Products LLC</v>
      </c>
      <c r="D906" s="11" t="s">
        <v>2974</v>
      </c>
      <c r="E906" s="11" t="s">
        <v>2979</v>
      </c>
      <c r="F906" s="11"/>
      <c r="G906" s="11" t="s">
        <v>2980</v>
      </c>
      <c r="H906" s="11"/>
      <c r="I906" s="11">
        <v>7248138386</v>
      </c>
      <c r="J906" s="13"/>
    </row>
    <row r="907" spans="1:10" ht="18" customHeight="1" x14ac:dyDescent="0.25">
      <c r="A907" s="12"/>
      <c r="B907" s="11">
        <v>584</v>
      </c>
      <c r="C907" s="11" t="str">
        <f>IFERROR(VLOOKUP(B907,[1]customers!$A:$B,2,0),"")</f>
        <v>RT Hampton</v>
      </c>
      <c r="D907" s="11" t="s">
        <v>2981</v>
      </c>
      <c r="E907" s="11" t="s">
        <v>2982</v>
      </c>
      <c r="F907" s="11"/>
      <c r="G907" s="11" t="s">
        <v>2983</v>
      </c>
      <c r="H907" s="11" t="s">
        <v>2984</v>
      </c>
      <c r="I907" s="11" t="s">
        <v>2985</v>
      </c>
      <c r="J907" s="13"/>
    </row>
    <row r="908" spans="1:10" ht="18" customHeight="1" x14ac:dyDescent="0.25">
      <c r="A908" s="12"/>
      <c r="B908" s="11">
        <v>557</v>
      </c>
      <c r="C908" s="11" t="str">
        <f>IFERROR(VLOOKUP(B908,[1]customers!$A:$B,2,0),"")</f>
        <v>Ravago</v>
      </c>
      <c r="D908" s="11" t="s">
        <v>2986</v>
      </c>
      <c r="E908" s="11" t="s">
        <v>2987</v>
      </c>
      <c r="F908" s="11"/>
      <c r="G908" s="11" t="s">
        <v>2988</v>
      </c>
      <c r="H908" s="11"/>
      <c r="I908" s="11">
        <v>33020328328</v>
      </c>
      <c r="J908" s="13"/>
    </row>
    <row r="909" spans="1:10" ht="18" customHeight="1" x14ac:dyDescent="0.25">
      <c r="A909" s="12"/>
      <c r="B909" s="11">
        <v>557</v>
      </c>
      <c r="C909" s="11" t="str">
        <f>IFERROR(VLOOKUP(B909,[1]customers!$A:$B,2,0),"")</f>
        <v>Ravago</v>
      </c>
      <c r="D909" s="11" t="s">
        <v>2986</v>
      </c>
      <c r="E909" s="11" t="s">
        <v>2989</v>
      </c>
      <c r="F909" s="11"/>
      <c r="G909" s="11" t="s">
        <v>2990</v>
      </c>
      <c r="H909" s="11"/>
      <c r="I909" s="11">
        <v>3305903295</v>
      </c>
      <c r="J909" s="13"/>
    </row>
    <row r="910" spans="1:10" ht="18" customHeight="1" x14ac:dyDescent="0.25">
      <c r="A910" s="12"/>
      <c r="B910" s="11">
        <v>557</v>
      </c>
      <c r="C910" s="11" t="str">
        <f>IFERROR(VLOOKUP(B910,[1]customers!$A:$B,2,0),"")</f>
        <v>Ravago</v>
      </c>
      <c r="D910" s="11" t="s">
        <v>2986</v>
      </c>
      <c r="E910" s="11" t="s">
        <v>2991</v>
      </c>
      <c r="F910" s="11"/>
      <c r="G910" s="11" t="s">
        <v>2992</v>
      </c>
      <c r="H910" s="11" t="s">
        <v>2993</v>
      </c>
      <c r="I910" s="11" t="s">
        <v>2994</v>
      </c>
      <c r="J910" s="13"/>
    </row>
    <row r="911" spans="1:10" ht="18" customHeight="1" x14ac:dyDescent="0.25">
      <c r="A911" s="12"/>
      <c r="B911" s="11">
        <v>557</v>
      </c>
      <c r="C911" s="11" t="str">
        <f>IFERROR(VLOOKUP(B911,[1]customers!$A:$B,2,0),"")</f>
        <v>Ravago</v>
      </c>
      <c r="D911" s="11" t="s">
        <v>2986</v>
      </c>
      <c r="E911" s="11" t="s">
        <v>2995</v>
      </c>
      <c r="F911" s="11"/>
      <c r="G911" s="11" t="s">
        <v>2996</v>
      </c>
      <c r="H911" s="11" t="s">
        <v>2997</v>
      </c>
      <c r="I911" s="11"/>
      <c r="J911" s="13"/>
    </row>
    <row r="912" spans="1:10" ht="18" customHeight="1" x14ac:dyDescent="0.25">
      <c r="A912" s="12"/>
      <c r="B912" s="11">
        <v>59</v>
      </c>
      <c r="C912" s="11" t="str">
        <f>IFERROR(VLOOKUP(B912,[1]customers!$A:$B,2,0),"")</f>
        <v>ARE Truck Caps</v>
      </c>
      <c r="D912" s="11" t="s">
        <v>2998</v>
      </c>
      <c r="E912" s="11" t="s">
        <v>2999</v>
      </c>
      <c r="F912" s="11"/>
      <c r="G912" s="11" t="s">
        <v>3000</v>
      </c>
      <c r="H912" s="11"/>
      <c r="I912" s="11" t="s">
        <v>3001</v>
      </c>
      <c r="J912" s="13"/>
    </row>
    <row r="913" spans="1:10" ht="18" customHeight="1" x14ac:dyDescent="0.25">
      <c r="A913" s="12"/>
      <c r="B913" s="11">
        <v>569</v>
      </c>
      <c r="C913" s="11" t="str">
        <f>IFERROR(VLOOKUP(B913,[1]customers!$A:$B,2,0),"")</f>
        <v>RMG Investment Group LLC</v>
      </c>
      <c r="D913" s="11" t="s">
        <v>3002</v>
      </c>
      <c r="E913" s="11" t="s">
        <v>3003</v>
      </c>
      <c r="F913" s="11"/>
      <c r="G913" s="11" t="s">
        <v>3004</v>
      </c>
      <c r="H913" s="11" t="s">
        <v>3005</v>
      </c>
      <c r="I913" s="11"/>
      <c r="J913" s="13"/>
    </row>
    <row r="914" spans="1:10" ht="18" customHeight="1" x14ac:dyDescent="0.25">
      <c r="A914" s="12"/>
      <c r="B914" s="11">
        <v>569</v>
      </c>
      <c r="C914" s="11" t="str">
        <f>IFERROR(VLOOKUP(B914,[1]customers!$A:$B,2,0),"")</f>
        <v>RMG Investment Group LLC</v>
      </c>
      <c r="D914" s="11" t="s">
        <v>3002</v>
      </c>
      <c r="E914" s="11" t="s">
        <v>3006</v>
      </c>
      <c r="F914" s="11"/>
      <c r="G914" s="11" t="s">
        <v>3007</v>
      </c>
      <c r="H914" s="11" t="s">
        <v>3008</v>
      </c>
      <c r="I914" s="11" t="s">
        <v>3009</v>
      </c>
      <c r="J914" s="13"/>
    </row>
    <row r="915" spans="1:10" ht="18" customHeight="1" x14ac:dyDescent="0.25">
      <c r="A915" s="12"/>
      <c r="B915" s="11">
        <v>569</v>
      </c>
      <c r="C915" s="11" t="str">
        <f>IFERROR(VLOOKUP(B915,[1]customers!$A:$B,2,0),"")</f>
        <v>RMG Investment Group LLC</v>
      </c>
      <c r="D915" s="11" t="s">
        <v>3002</v>
      </c>
      <c r="E915" s="11" t="s">
        <v>3010</v>
      </c>
      <c r="F915" s="11"/>
      <c r="G915" s="11" t="s">
        <v>3011</v>
      </c>
      <c r="H915" s="11"/>
      <c r="I915" s="11" t="s">
        <v>3012</v>
      </c>
      <c r="J915" s="13"/>
    </row>
    <row r="916" spans="1:10" ht="18" customHeight="1" x14ac:dyDescent="0.25">
      <c r="A916" s="12"/>
      <c r="B916" s="11">
        <v>569</v>
      </c>
      <c r="C916" s="11" t="str">
        <f>IFERROR(VLOOKUP(B916,[1]customers!$A:$B,2,0),"")</f>
        <v>RMG Investment Group LLC</v>
      </c>
      <c r="D916" s="11" t="s">
        <v>3002</v>
      </c>
      <c r="E916" s="11" t="s">
        <v>3013</v>
      </c>
      <c r="F916" s="11"/>
      <c r="G916" s="11" t="s">
        <v>3014</v>
      </c>
      <c r="H916" s="11" t="s">
        <v>3015</v>
      </c>
      <c r="I916" s="11" t="s">
        <v>3016</v>
      </c>
      <c r="J916" s="13"/>
    </row>
    <row r="917" spans="1:10" ht="18" customHeight="1" x14ac:dyDescent="0.25">
      <c r="A917" s="12"/>
      <c r="B917" s="11">
        <v>576</v>
      </c>
      <c r="C917" s="11" t="str">
        <f>IFERROR(VLOOKUP(B917,[1]customers!$A:$B,2,0),"")</f>
        <v>Roechling Automotive USA LLP</v>
      </c>
      <c r="D917" s="11" t="s">
        <v>3017</v>
      </c>
      <c r="E917" s="11" t="s">
        <v>3018</v>
      </c>
      <c r="F917" s="11"/>
      <c r="G917" s="11" t="s">
        <v>3019</v>
      </c>
      <c r="H917" s="11"/>
      <c r="I917" s="11" t="s">
        <v>3020</v>
      </c>
      <c r="J917" s="13"/>
    </row>
    <row r="918" spans="1:10" ht="18" customHeight="1" x14ac:dyDescent="0.25">
      <c r="A918" s="12"/>
      <c r="B918" s="11">
        <v>576</v>
      </c>
      <c r="C918" s="11" t="str">
        <f>IFERROR(VLOOKUP(B918,[1]customers!$A:$B,2,0),"")</f>
        <v>Roechling Automotive USA LLP</v>
      </c>
      <c r="D918" s="11" t="s">
        <v>3017</v>
      </c>
      <c r="E918" s="11" t="s">
        <v>3021</v>
      </c>
      <c r="F918" s="11"/>
      <c r="G918" s="11" t="s">
        <v>3022</v>
      </c>
      <c r="H918" s="11" t="s">
        <v>3023</v>
      </c>
      <c r="I918" s="11" t="s">
        <v>3024</v>
      </c>
      <c r="J918" s="13"/>
    </row>
    <row r="919" spans="1:10" ht="18" customHeight="1" x14ac:dyDescent="0.25">
      <c r="A919" s="12"/>
      <c r="B919" s="11">
        <v>576</v>
      </c>
      <c r="C919" s="11" t="str">
        <f>IFERROR(VLOOKUP(B919,[1]customers!$A:$B,2,0),"")</f>
        <v>Roechling Automotive USA LLP</v>
      </c>
      <c r="D919" s="11" t="s">
        <v>3017</v>
      </c>
      <c r="E919" s="11" t="s">
        <v>3025</v>
      </c>
      <c r="F919" s="11"/>
      <c r="G919" s="11" t="s">
        <v>3026</v>
      </c>
      <c r="H919" s="11"/>
      <c r="I919" s="11" t="s">
        <v>3027</v>
      </c>
      <c r="J919" s="13"/>
    </row>
    <row r="920" spans="1:10" ht="18" customHeight="1" x14ac:dyDescent="0.25">
      <c r="A920" s="12"/>
      <c r="B920" s="11">
        <v>677</v>
      </c>
      <c r="C920" s="11" t="str">
        <f>IFERROR(VLOOKUP(B920,[1]customers!$A:$B,2,0),"")</f>
        <v>thyssenkrupp rothe erde USA Inc</v>
      </c>
      <c r="D920" s="11" t="s">
        <v>3028</v>
      </c>
      <c r="E920" s="11" t="s">
        <v>3029</v>
      </c>
      <c r="F920" s="11"/>
      <c r="G920" s="11" t="s">
        <v>3030</v>
      </c>
      <c r="H920" s="11" t="s">
        <v>3031</v>
      </c>
      <c r="I920" s="11"/>
      <c r="J920" s="13"/>
    </row>
    <row r="921" spans="1:10" ht="18" customHeight="1" x14ac:dyDescent="0.25">
      <c r="A921" s="12"/>
      <c r="B921" s="11">
        <v>677</v>
      </c>
      <c r="C921" s="11" t="str">
        <f>IFERROR(VLOOKUP(B921,[1]customers!$A:$B,2,0),"")</f>
        <v>thyssenkrupp rothe erde USA Inc</v>
      </c>
      <c r="D921" s="11" t="s">
        <v>3028</v>
      </c>
      <c r="E921" s="11" t="s">
        <v>3032</v>
      </c>
      <c r="F921" s="11"/>
      <c r="G921" s="11" t="s">
        <v>3033</v>
      </c>
      <c r="H921" s="11" t="s">
        <v>3034</v>
      </c>
      <c r="I921" s="11" t="s">
        <v>3035</v>
      </c>
      <c r="J921" s="13"/>
    </row>
    <row r="922" spans="1:10" ht="18" customHeight="1" x14ac:dyDescent="0.25">
      <c r="A922" s="12"/>
      <c r="B922" s="11">
        <v>677</v>
      </c>
      <c r="C922" s="11" t="str">
        <f>IFERROR(VLOOKUP(B922,[1]customers!$A:$B,2,0),"")</f>
        <v>thyssenkrupp rothe erde USA Inc</v>
      </c>
      <c r="D922" s="11" t="s">
        <v>3028</v>
      </c>
      <c r="E922" s="11" t="s">
        <v>3036</v>
      </c>
      <c r="F922" s="11"/>
      <c r="G922" s="11" t="s">
        <v>3037</v>
      </c>
      <c r="H922" s="11" t="s">
        <v>3038</v>
      </c>
      <c r="I922" s="11" t="s">
        <v>3039</v>
      </c>
      <c r="J922" s="13"/>
    </row>
    <row r="923" spans="1:10" ht="18" customHeight="1" x14ac:dyDescent="0.25">
      <c r="A923" s="12"/>
      <c r="B923" s="11">
        <v>677</v>
      </c>
      <c r="C923" s="11" t="str">
        <f>IFERROR(VLOOKUP(B923,[1]customers!$A:$B,2,0),"")</f>
        <v>thyssenkrupp rothe erde USA Inc</v>
      </c>
      <c r="D923" s="11" t="s">
        <v>3028</v>
      </c>
      <c r="E923" s="11" t="s">
        <v>3040</v>
      </c>
      <c r="F923" s="11"/>
      <c r="G923" s="11" t="s">
        <v>3041</v>
      </c>
      <c r="H923" s="11"/>
      <c r="I923" s="11" t="s">
        <v>3042</v>
      </c>
      <c r="J923" s="13"/>
    </row>
    <row r="924" spans="1:10" ht="18" customHeight="1" x14ac:dyDescent="0.25">
      <c r="A924" s="12"/>
      <c r="B924" s="11">
        <v>677</v>
      </c>
      <c r="C924" s="11" t="str">
        <f>IFERROR(VLOOKUP(B924,[1]customers!$A:$B,2,0),"")</f>
        <v>thyssenkrupp rothe erde USA Inc</v>
      </c>
      <c r="D924" s="11" t="s">
        <v>3028</v>
      </c>
      <c r="E924" s="11" t="s">
        <v>3043</v>
      </c>
      <c r="F924" s="11"/>
      <c r="G924" s="11" t="s">
        <v>3044</v>
      </c>
      <c r="H924" s="11" t="s">
        <v>3045</v>
      </c>
      <c r="I924" s="11" t="s">
        <v>3046</v>
      </c>
      <c r="J924" s="13"/>
    </row>
    <row r="925" spans="1:10" ht="18" customHeight="1" x14ac:dyDescent="0.25">
      <c r="A925" s="12"/>
      <c r="B925" s="11">
        <v>677</v>
      </c>
      <c r="C925" s="11" t="str">
        <f>IFERROR(VLOOKUP(B925,[1]customers!$A:$B,2,0),"")</f>
        <v>thyssenkrupp rothe erde USA Inc</v>
      </c>
      <c r="D925" s="11" t="s">
        <v>3028</v>
      </c>
      <c r="E925" s="11" t="s">
        <v>3047</v>
      </c>
      <c r="F925" s="11"/>
      <c r="G925" s="11" t="s">
        <v>3048</v>
      </c>
      <c r="H925" s="11"/>
      <c r="I925" s="11" t="s">
        <v>3049</v>
      </c>
      <c r="J925" s="13"/>
    </row>
    <row r="926" spans="1:10" ht="18" customHeight="1" x14ac:dyDescent="0.25">
      <c r="A926" s="12"/>
      <c r="B926" s="11">
        <v>677</v>
      </c>
      <c r="C926" s="11" t="str">
        <f>IFERROR(VLOOKUP(B926,[1]customers!$A:$B,2,0),"")</f>
        <v>thyssenkrupp rothe erde USA Inc</v>
      </c>
      <c r="D926" s="11" t="s">
        <v>3028</v>
      </c>
      <c r="E926" s="11" t="s">
        <v>3050</v>
      </c>
      <c r="F926" s="11"/>
      <c r="G926" s="11" t="s">
        <v>3051</v>
      </c>
      <c r="H926" s="11" t="s">
        <v>3052</v>
      </c>
      <c r="I926" s="11"/>
      <c r="J926" s="13"/>
    </row>
    <row r="927" spans="1:10" ht="18" customHeight="1" x14ac:dyDescent="0.25">
      <c r="A927" s="12"/>
      <c r="B927" s="11">
        <v>677</v>
      </c>
      <c r="C927" s="11" t="str">
        <f>IFERROR(VLOOKUP(B927,[1]customers!$A:$B,2,0),"")</f>
        <v>thyssenkrupp rothe erde USA Inc</v>
      </c>
      <c r="D927" s="11" t="s">
        <v>3028</v>
      </c>
      <c r="E927" s="11" t="s">
        <v>3053</v>
      </c>
      <c r="F927" s="11"/>
      <c r="G927" s="11" t="s">
        <v>3054</v>
      </c>
      <c r="H927" s="11" t="s">
        <v>3055</v>
      </c>
      <c r="I927" s="11" t="s">
        <v>3056</v>
      </c>
      <c r="J927" s="13"/>
    </row>
    <row r="928" spans="1:10" ht="18" customHeight="1" x14ac:dyDescent="0.25">
      <c r="A928" s="12"/>
      <c r="B928" s="11">
        <v>677</v>
      </c>
      <c r="C928" s="11" t="str">
        <f>IFERROR(VLOOKUP(B928,[1]customers!$A:$B,2,0),"")</f>
        <v>thyssenkrupp rothe erde USA Inc</v>
      </c>
      <c r="D928" s="11" t="s">
        <v>3028</v>
      </c>
      <c r="E928" s="11" t="s">
        <v>3057</v>
      </c>
      <c r="F928" s="11"/>
      <c r="G928" s="11" t="s">
        <v>3058</v>
      </c>
      <c r="H928" s="11"/>
      <c r="I928" s="11" t="s">
        <v>3059</v>
      </c>
      <c r="J928" s="13"/>
    </row>
    <row r="929" spans="1:10" ht="18" customHeight="1" x14ac:dyDescent="0.25">
      <c r="A929" s="12"/>
      <c r="B929" s="11">
        <v>460</v>
      </c>
      <c r="C929" s="11" t="str">
        <f>IFERROR(VLOOKUP(B929,[1]customers!$A:$B,2,0),"")</f>
        <v>Newell Brands (Rubbermaid Inc)</v>
      </c>
      <c r="D929" s="11" t="s">
        <v>3060</v>
      </c>
      <c r="E929" s="11" t="s">
        <v>3061</v>
      </c>
      <c r="F929" s="11"/>
      <c r="G929" s="11" t="s">
        <v>3062</v>
      </c>
      <c r="H929" s="11"/>
      <c r="I929" s="11" t="s">
        <v>3063</v>
      </c>
      <c r="J929" s="13"/>
    </row>
    <row r="930" spans="1:10" ht="18" customHeight="1" x14ac:dyDescent="0.25">
      <c r="A930" s="12"/>
      <c r="B930" s="11">
        <v>460</v>
      </c>
      <c r="C930" s="11" t="str">
        <f>IFERROR(VLOOKUP(B930,[1]customers!$A:$B,2,0),"")</f>
        <v>Newell Brands (Rubbermaid Inc)</v>
      </c>
      <c r="D930" s="11" t="s">
        <v>3060</v>
      </c>
      <c r="E930" s="11" t="s">
        <v>3064</v>
      </c>
      <c r="F930" s="11"/>
      <c r="G930" s="11" t="s">
        <v>3065</v>
      </c>
      <c r="H930" s="11"/>
      <c r="I930" s="11" t="s">
        <v>3066</v>
      </c>
      <c r="J930" s="13"/>
    </row>
    <row r="931" spans="1:10" ht="18" customHeight="1" x14ac:dyDescent="0.25">
      <c r="A931" s="12"/>
      <c r="B931" s="11">
        <v>460</v>
      </c>
      <c r="C931" s="11" t="str">
        <f>IFERROR(VLOOKUP(B931,[1]customers!$A:$B,2,0),"")</f>
        <v>Newell Brands (Rubbermaid Inc)</v>
      </c>
      <c r="D931" s="11" t="s">
        <v>3060</v>
      </c>
      <c r="E931" s="11" t="s">
        <v>3067</v>
      </c>
      <c r="F931" s="11"/>
      <c r="G931" s="11"/>
      <c r="H931" s="11"/>
      <c r="I931" s="11" t="s">
        <v>3068</v>
      </c>
      <c r="J931" s="13"/>
    </row>
    <row r="932" spans="1:10" ht="18" customHeight="1" x14ac:dyDescent="0.25">
      <c r="A932" s="12"/>
      <c r="B932" s="11">
        <v>460</v>
      </c>
      <c r="C932" s="11" t="str">
        <f>IFERROR(VLOOKUP(B932,[1]customers!$A:$B,2,0),"")</f>
        <v>Newell Brands (Rubbermaid Inc)</v>
      </c>
      <c r="D932" s="11" t="s">
        <v>3060</v>
      </c>
      <c r="E932" s="11" t="s">
        <v>3069</v>
      </c>
      <c r="F932" s="11"/>
      <c r="G932" s="11"/>
      <c r="H932" s="11"/>
      <c r="I932" s="11" t="s">
        <v>3068</v>
      </c>
      <c r="J932" s="13"/>
    </row>
    <row r="933" spans="1:10" ht="18" customHeight="1" x14ac:dyDescent="0.25">
      <c r="A933" s="12"/>
      <c r="B933" s="11">
        <v>616</v>
      </c>
      <c r="C933" s="11" t="str">
        <f>IFERROR(VLOOKUP(B933,[1]customers!$A:$B,2,0),"")</f>
        <v>Shinagawa</v>
      </c>
      <c r="D933" s="11" t="s">
        <v>3070</v>
      </c>
      <c r="E933" s="11" t="s">
        <v>3071</v>
      </c>
      <c r="F933" s="11"/>
      <c r="G933" s="11" t="s">
        <v>3072</v>
      </c>
      <c r="H933" s="11" t="s">
        <v>3073</v>
      </c>
      <c r="I933" s="11" t="s">
        <v>3074</v>
      </c>
      <c r="J933" s="13"/>
    </row>
    <row r="934" spans="1:10" ht="18" customHeight="1" x14ac:dyDescent="0.25">
      <c r="A934" s="12"/>
      <c r="B934" s="11">
        <v>616</v>
      </c>
      <c r="C934" s="11" t="str">
        <f>IFERROR(VLOOKUP(B934,[1]customers!$A:$B,2,0),"")</f>
        <v>Shinagawa</v>
      </c>
      <c r="D934" s="11" t="s">
        <v>3070</v>
      </c>
      <c r="E934" s="11" t="s">
        <v>3075</v>
      </c>
      <c r="F934" s="11"/>
      <c r="G934" s="11" t="s">
        <v>3076</v>
      </c>
      <c r="H934" s="11"/>
      <c r="I934" s="11" t="s">
        <v>3077</v>
      </c>
      <c r="J934" s="13"/>
    </row>
    <row r="935" spans="1:10" ht="18" customHeight="1" x14ac:dyDescent="0.25">
      <c r="A935" s="12"/>
      <c r="B935" s="11">
        <v>618</v>
      </c>
      <c r="C935" s="11" t="str">
        <f>IFERROR(VLOOKUP(B935,[1]customers!$A:$B,2,0),"")</f>
        <v>Silgan Dispensing Systems(Cobra Plastics)</v>
      </c>
      <c r="D935" s="11" t="s">
        <v>3078</v>
      </c>
      <c r="E935" s="11" t="s">
        <v>3079</v>
      </c>
      <c r="F935" s="11"/>
      <c r="G935" s="11" t="s">
        <v>3080</v>
      </c>
      <c r="H935" s="11"/>
      <c r="I935" s="11" t="s">
        <v>3081</v>
      </c>
      <c r="J935" s="13"/>
    </row>
    <row r="936" spans="1:10" ht="18" customHeight="1" x14ac:dyDescent="0.25">
      <c r="A936" s="12"/>
      <c r="B936" s="11">
        <v>627</v>
      </c>
      <c r="C936" s="11" t="str">
        <f>IFERROR(VLOOKUP(B936,[1]customers!$A:$B,2,0),"")</f>
        <v>Smithers Rapra North America</v>
      </c>
      <c r="D936" s="11" t="s">
        <v>3082</v>
      </c>
      <c r="E936" s="11" t="s">
        <v>3083</v>
      </c>
      <c r="F936" s="11"/>
      <c r="G936" s="11"/>
      <c r="H936" s="11"/>
      <c r="I936" s="11">
        <v>3308105508</v>
      </c>
      <c r="J936" s="13"/>
    </row>
    <row r="937" spans="1:10" ht="18" customHeight="1" x14ac:dyDescent="0.25">
      <c r="A937" s="12"/>
      <c r="B937" s="11">
        <v>627</v>
      </c>
      <c r="C937" s="11" t="str">
        <f>IFERROR(VLOOKUP(B937,[1]customers!$A:$B,2,0),"")</f>
        <v>Smithers Rapra North America</v>
      </c>
      <c r="D937" s="11" t="s">
        <v>3084</v>
      </c>
      <c r="E937" s="11" t="s">
        <v>3085</v>
      </c>
      <c r="F937" s="11"/>
      <c r="G937" s="11" t="s">
        <v>3086</v>
      </c>
      <c r="H937" s="11" t="s">
        <v>3087</v>
      </c>
      <c r="I937" s="11" t="s">
        <v>3088</v>
      </c>
      <c r="J937" s="13"/>
    </row>
    <row r="938" spans="1:10" ht="18" customHeight="1" x14ac:dyDescent="0.25">
      <c r="A938" s="12"/>
      <c r="B938" s="11">
        <v>627</v>
      </c>
      <c r="C938" s="11" t="str">
        <f>IFERROR(VLOOKUP(B938,[1]customers!$A:$B,2,0),"")</f>
        <v>Smithers Rapra North America</v>
      </c>
      <c r="D938" s="11" t="s">
        <v>3084</v>
      </c>
      <c r="E938" s="11" t="s">
        <v>3089</v>
      </c>
      <c r="F938" s="11"/>
      <c r="G938" s="11"/>
      <c r="H938" s="11"/>
      <c r="I938" s="11" t="s">
        <v>3090</v>
      </c>
      <c r="J938" s="13"/>
    </row>
    <row r="939" spans="1:10" ht="18" customHeight="1" x14ac:dyDescent="0.25">
      <c r="A939" s="12"/>
      <c r="B939" s="11">
        <v>627</v>
      </c>
      <c r="C939" s="11" t="str">
        <f>IFERROR(VLOOKUP(B939,[1]customers!$A:$B,2,0),"")</f>
        <v>Smithers Rapra North America</v>
      </c>
      <c r="D939" s="11" t="s">
        <v>3084</v>
      </c>
      <c r="E939" s="11" t="s">
        <v>3089</v>
      </c>
      <c r="F939" s="11"/>
      <c r="G939" s="11" t="s">
        <v>3091</v>
      </c>
      <c r="H939" s="11" t="s">
        <v>3090</v>
      </c>
      <c r="I939" s="11" t="s">
        <v>3088</v>
      </c>
      <c r="J939" s="13"/>
    </row>
    <row r="940" spans="1:10" ht="18" customHeight="1" x14ac:dyDescent="0.25">
      <c r="A940" s="12"/>
      <c r="B940" s="11">
        <v>627</v>
      </c>
      <c r="C940" s="11" t="str">
        <f>IFERROR(VLOOKUP(B940,[1]customers!$A:$B,2,0),"")</f>
        <v>Smithers Rapra North America</v>
      </c>
      <c r="D940" s="11" t="s">
        <v>3084</v>
      </c>
      <c r="E940" s="11" t="s">
        <v>3092</v>
      </c>
      <c r="F940" s="11"/>
      <c r="G940" s="11" t="s">
        <v>3093</v>
      </c>
      <c r="H940" s="11"/>
      <c r="I940" s="11" t="s">
        <v>3088</v>
      </c>
      <c r="J940" s="13"/>
    </row>
    <row r="941" spans="1:10" ht="18" customHeight="1" x14ac:dyDescent="0.25">
      <c r="A941" s="12"/>
      <c r="B941" s="11">
        <v>627</v>
      </c>
      <c r="C941" s="11" t="str">
        <f>IFERROR(VLOOKUP(B941,[1]customers!$A:$B,2,0),"")</f>
        <v>Smithers Rapra North America</v>
      </c>
      <c r="D941" s="11" t="s">
        <v>3084</v>
      </c>
      <c r="E941" s="11" t="s">
        <v>3094</v>
      </c>
      <c r="F941" s="11"/>
      <c r="G941" s="11" t="s">
        <v>3095</v>
      </c>
      <c r="H941" s="11" t="s">
        <v>3096</v>
      </c>
      <c r="I941" s="11"/>
      <c r="J941" s="13"/>
    </row>
    <row r="942" spans="1:10" ht="18" customHeight="1" x14ac:dyDescent="0.25">
      <c r="A942" s="12"/>
      <c r="B942" s="11">
        <v>627</v>
      </c>
      <c r="C942" s="11" t="str">
        <f>IFERROR(VLOOKUP(B942,[1]customers!$A:$B,2,0),"")</f>
        <v>Smithers Rapra North America</v>
      </c>
      <c r="D942" s="11" t="s">
        <v>3084</v>
      </c>
      <c r="E942" s="11" t="s">
        <v>3097</v>
      </c>
      <c r="F942" s="11"/>
      <c r="G942" s="11" t="s">
        <v>3098</v>
      </c>
      <c r="H942" s="11"/>
      <c r="I942" s="11" t="s">
        <v>3099</v>
      </c>
      <c r="J942" s="13"/>
    </row>
    <row r="943" spans="1:10" ht="18" customHeight="1" x14ac:dyDescent="0.25">
      <c r="A943" s="12"/>
      <c r="B943" s="11">
        <v>627</v>
      </c>
      <c r="C943" s="11" t="str">
        <f>IFERROR(VLOOKUP(B943,[1]customers!$A:$B,2,0),"")</f>
        <v>Smithers Rapra North America</v>
      </c>
      <c r="D943" s="11" t="s">
        <v>3084</v>
      </c>
      <c r="E943" s="11" t="s">
        <v>3100</v>
      </c>
      <c r="F943" s="11"/>
      <c r="G943" s="11" t="s">
        <v>3101</v>
      </c>
      <c r="H943" s="11"/>
      <c r="I943" s="11" t="s">
        <v>3102</v>
      </c>
      <c r="J943" s="13"/>
    </row>
    <row r="944" spans="1:10" ht="18" customHeight="1" x14ac:dyDescent="0.25">
      <c r="A944" s="12"/>
      <c r="B944" s="11">
        <v>627</v>
      </c>
      <c r="C944" s="11" t="str">
        <f>IFERROR(VLOOKUP(B944,[1]customers!$A:$B,2,0),"")</f>
        <v>Smithers Rapra North America</v>
      </c>
      <c r="D944" s="11" t="s">
        <v>3084</v>
      </c>
      <c r="E944" s="11" t="s">
        <v>3103</v>
      </c>
      <c r="F944" s="11"/>
      <c r="G944" s="11" t="s">
        <v>3104</v>
      </c>
      <c r="H944" s="11"/>
      <c r="I944" s="11"/>
      <c r="J944" s="13"/>
    </row>
    <row r="945" spans="1:10" ht="18" customHeight="1" x14ac:dyDescent="0.25">
      <c r="A945" s="12"/>
      <c r="B945" s="11">
        <v>627</v>
      </c>
      <c r="C945" s="11" t="str">
        <f>IFERROR(VLOOKUP(B945,[1]customers!$A:$B,2,0),"")</f>
        <v>Smithers Rapra North America</v>
      </c>
      <c r="D945" s="11" t="s">
        <v>3084</v>
      </c>
      <c r="E945" s="11" t="s">
        <v>3105</v>
      </c>
      <c r="F945" s="11"/>
      <c r="G945" s="11" t="s">
        <v>3106</v>
      </c>
      <c r="H945" s="11"/>
      <c r="I945" s="11"/>
      <c r="J945" s="13"/>
    </row>
    <row r="946" spans="1:10" ht="18" customHeight="1" x14ac:dyDescent="0.25">
      <c r="A946" s="12"/>
      <c r="B946" s="11">
        <v>634</v>
      </c>
      <c r="C946" s="11" t="str">
        <f>IFERROR(VLOOKUP(B946,[1]customers!$A:$B,2,0),"")</f>
        <v>Sonoco Products Company</v>
      </c>
      <c r="D946" s="11" t="s">
        <v>3107</v>
      </c>
      <c r="E946" s="11" t="s">
        <v>3108</v>
      </c>
      <c r="F946" s="11"/>
      <c r="G946" s="11" t="s">
        <v>3109</v>
      </c>
      <c r="H946" s="11" t="s">
        <v>3110</v>
      </c>
      <c r="I946" s="11" t="s">
        <v>3111</v>
      </c>
      <c r="J946" s="13"/>
    </row>
    <row r="947" spans="1:10" ht="18" customHeight="1" x14ac:dyDescent="0.25">
      <c r="A947" s="12"/>
      <c r="B947" s="11">
        <v>639</v>
      </c>
      <c r="C947" s="11" t="str">
        <f>IFERROR(VLOOKUP(B947,[1]customers!$A:$B,2,0),"")</f>
        <v>SpectraLab</v>
      </c>
      <c r="D947" s="11" t="s">
        <v>3112</v>
      </c>
      <c r="E947" s="11" t="s">
        <v>3113</v>
      </c>
      <c r="F947" s="11"/>
      <c r="G947" s="11" t="s">
        <v>3114</v>
      </c>
      <c r="H947" s="11"/>
      <c r="I947" s="11" t="s">
        <v>3115</v>
      </c>
      <c r="J947" s="13"/>
    </row>
    <row r="948" spans="1:10" ht="18" customHeight="1" x14ac:dyDescent="0.25">
      <c r="A948" s="12"/>
      <c r="B948" s="11">
        <v>651</v>
      </c>
      <c r="C948" s="11" t="str">
        <f>IFERROR(VLOOKUP(B948,[1]customers!$A:$B,2,0),"")</f>
        <v>Sterling Corp</v>
      </c>
      <c r="D948" s="11" t="s">
        <v>3116</v>
      </c>
      <c r="E948" s="11" t="s">
        <v>3117</v>
      </c>
      <c r="F948" s="11"/>
      <c r="G948" s="11" t="s">
        <v>3118</v>
      </c>
      <c r="H948" s="11" t="s">
        <v>3119</v>
      </c>
      <c r="I948" s="11" t="s">
        <v>3120</v>
      </c>
      <c r="J948" s="13"/>
    </row>
    <row r="949" spans="1:10" ht="18" customHeight="1" x14ac:dyDescent="0.25">
      <c r="A949" s="12"/>
      <c r="B949" s="11">
        <v>651</v>
      </c>
      <c r="C949" s="11" t="str">
        <f>IFERROR(VLOOKUP(B949,[1]customers!$A:$B,2,0),"")</f>
        <v>Sterling Corp</v>
      </c>
      <c r="D949" s="11" t="s">
        <v>3116</v>
      </c>
      <c r="E949" s="11" t="s">
        <v>3121</v>
      </c>
      <c r="F949" s="11"/>
      <c r="G949" s="11" t="s">
        <v>3122</v>
      </c>
      <c r="H949" s="11"/>
      <c r="I949" s="11" t="s">
        <v>3123</v>
      </c>
      <c r="J949" s="13"/>
    </row>
    <row r="950" spans="1:10" ht="18" customHeight="1" x14ac:dyDescent="0.25">
      <c r="A950" s="12"/>
      <c r="B950" s="11">
        <v>651</v>
      </c>
      <c r="C950" s="11" t="str">
        <f>IFERROR(VLOOKUP(B950,[1]customers!$A:$B,2,0),"")</f>
        <v>Sterling Corp</v>
      </c>
      <c r="D950" s="11" t="s">
        <v>3116</v>
      </c>
      <c r="E950" s="11" t="s">
        <v>3124</v>
      </c>
      <c r="F950" s="11"/>
      <c r="G950" s="11" t="s">
        <v>3125</v>
      </c>
      <c r="H950" s="11"/>
      <c r="I950" s="11" t="s">
        <v>3126</v>
      </c>
      <c r="J950" s="13"/>
    </row>
    <row r="951" spans="1:10" ht="18" customHeight="1" x14ac:dyDescent="0.25">
      <c r="A951" s="12"/>
      <c r="B951" s="11">
        <v>165</v>
      </c>
      <c r="C951" s="11" t="str">
        <f>IFERROR(VLOOKUP(B951,[1]customers!$A:$B,2,0),"")</f>
        <v>CREO Group</v>
      </c>
      <c r="D951" s="11" t="s">
        <v>3127</v>
      </c>
      <c r="E951" s="11" t="s">
        <v>3128</v>
      </c>
      <c r="F951" s="11"/>
      <c r="G951" s="11" t="s">
        <v>3129</v>
      </c>
      <c r="H951" s="11"/>
      <c r="I951" s="11" t="s">
        <v>3130</v>
      </c>
      <c r="J951" s="13"/>
    </row>
    <row r="952" spans="1:10" ht="18" customHeight="1" x14ac:dyDescent="0.25">
      <c r="A952" s="12"/>
      <c r="B952" s="11">
        <v>165</v>
      </c>
      <c r="C952" s="11" t="str">
        <f>IFERROR(VLOOKUP(B952,[1]customers!$A:$B,2,0),"")</f>
        <v>CREO Group</v>
      </c>
      <c r="D952" s="11" t="s">
        <v>3127</v>
      </c>
      <c r="E952" s="11" t="s">
        <v>3131</v>
      </c>
      <c r="F952" s="11"/>
      <c r="G952" s="11" t="s">
        <v>3132</v>
      </c>
      <c r="H952" s="11" t="s">
        <v>3133</v>
      </c>
      <c r="I952" s="11" t="s">
        <v>3134</v>
      </c>
      <c r="J952" s="13"/>
    </row>
    <row r="953" spans="1:10" ht="18" customHeight="1" x14ac:dyDescent="0.25">
      <c r="A953" s="12"/>
      <c r="B953" s="11">
        <v>165</v>
      </c>
      <c r="C953" s="11" t="str">
        <f>IFERROR(VLOOKUP(B953,[1]customers!$A:$B,2,0),"")</f>
        <v>CREO Group</v>
      </c>
      <c r="D953" s="11" t="s">
        <v>3127</v>
      </c>
      <c r="E953" s="11" t="s">
        <v>3135</v>
      </c>
      <c r="F953" s="11"/>
      <c r="G953" s="11" t="s">
        <v>3136</v>
      </c>
      <c r="H953" s="11"/>
      <c r="I953" s="11" t="s">
        <v>3130</v>
      </c>
      <c r="J953" s="13"/>
    </row>
    <row r="954" spans="1:10" ht="18" customHeight="1" x14ac:dyDescent="0.25">
      <c r="A954" s="12"/>
      <c r="B954" s="11">
        <v>165</v>
      </c>
      <c r="C954" s="11" t="str">
        <f>IFERROR(VLOOKUP(B954,[1]customers!$A:$B,2,0),"")</f>
        <v>CREO Group</v>
      </c>
      <c r="D954" s="11" t="s">
        <v>3127</v>
      </c>
      <c r="E954" s="11" t="s">
        <v>3137</v>
      </c>
      <c r="F954" s="11"/>
      <c r="G954" s="11" t="s">
        <v>3138</v>
      </c>
      <c r="H954" s="11" t="s">
        <v>3139</v>
      </c>
      <c r="I954" s="11" t="s">
        <v>3140</v>
      </c>
      <c r="J954" s="13"/>
    </row>
    <row r="955" spans="1:10" ht="18" customHeight="1" x14ac:dyDescent="0.25">
      <c r="A955" s="12"/>
      <c r="B955" s="11">
        <v>165</v>
      </c>
      <c r="C955" s="11" t="str">
        <f>IFERROR(VLOOKUP(B955,[1]customers!$A:$B,2,0),"")</f>
        <v>CREO Group</v>
      </c>
      <c r="D955" s="11" t="s">
        <v>3127</v>
      </c>
      <c r="E955" s="11" t="s">
        <v>3141</v>
      </c>
      <c r="F955" s="11"/>
      <c r="G955" s="11" t="s">
        <v>3142</v>
      </c>
      <c r="H955" s="11"/>
      <c r="I955" s="11" t="s">
        <v>3130</v>
      </c>
      <c r="J955" s="13"/>
    </row>
    <row r="956" spans="1:10" ht="18" customHeight="1" x14ac:dyDescent="0.25">
      <c r="A956" s="12"/>
      <c r="B956" s="11">
        <v>688</v>
      </c>
      <c r="C956" s="11" t="str">
        <f>IFERROR(VLOOKUP(B956,[1]customers!$A:$B,2,0),"")</f>
        <v>Tri-Seal OPCO LLC (Tekni-Plex)</v>
      </c>
      <c r="D956" s="11" t="s">
        <v>3143</v>
      </c>
      <c r="E956" s="11" t="s">
        <v>3144</v>
      </c>
      <c r="F956" s="11"/>
      <c r="G956" s="11" t="s">
        <v>3145</v>
      </c>
      <c r="H956" s="11"/>
      <c r="I956" s="11" t="s">
        <v>3146</v>
      </c>
      <c r="J956" s="13"/>
    </row>
    <row r="957" spans="1:10" ht="18" customHeight="1" x14ac:dyDescent="0.25">
      <c r="A957" s="12"/>
      <c r="B957" s="11">
        <v>688</v>
      </c>
      <c r="C957" s="11" t="str">
        <f>IFERROR(VLOOKUP(B957,[1]customers!$A:$B,2,0),"")</f>
        <v>Tri-Seal OPCO LLC (Tekni-Plex)</v>
      </c>
      <c r="D957" s="11" t="s">
        <v>3143</v>
      </c>
      <c r="E957" s="11" t="s">
        <v>3147</v>
      </c>
      <c r="F957" s="11"/>
      <c r="G957" s="11" t="s">
        <v>3148</v>
      </c>
      <c r="H957" s="11" t="s">
        <v>3149</v>
      </c>
      <c r="I957" s="11"/>
      <c r="J957" s="13"/>
    </row>
    <row r="958" spans="1:10" ht="18" customHeight="1" x14ac:dyDescent="0.25">
      <c r="A958" s="12"/>
      <c r="B958" s="11">
        <v>688</v>
      </c>
      <c r="C958" s="11" t="str">
        <f>IFERROR(VLOOKUP(B958,[1]customers!$A:$B,2,0),"")</f>
        <v>Tri-Seal OPCO LLC (Tekni-Plex)</v>
      </c>
      <c r="D958" s="11" t="s">
        <v>3143</v>
      </c>
      <c r="E958" s="11" t="s">
        <v>3150</v>
      </c>
      <c r="F958" s="11"/>
      <c r="G958" s="11" t="s">
        <v>3151</v>
      </c>
      <c r="H958" s="11" t="s">
        <v>3152</v>
      </c>
      <c r="I958" s="11"/>
      <c r="J958" s="13"/>
    </row>
    <row r="959" spans="1:10" ht="18" customHeight="1" x14ac:dyDescent="0.25">
      <c r="A959" s="12"/>
      <c r="B959" s="11">
        <v>688</v>
      </c>
      <c r="C959" s="11" t="str">
        <f>IFERROR(VLOOKUP(B959,[1]customers!$A:$B,2,0),"")</f>
        <v>Tri-Seal OPCO LLC (Tekni-Plex)</v>
      </c>
      <c r="D959" s="11" t="s">
        <v>3143</v>
      </c>
      <c r="E959" s="11" t="s">
        <v>3153</v>
      </c>
      <c r="F959" s="11"/>
      <c r="G959" s="11" t="s">
        <v>3154</v>
      </c>
      <c r="H959" s="11"/>
      <c r="I959" s="11" t="s">
        <v>3155</v>
      </c>
      <c r="J959" s="13"/>
    </row>
    <row r="960" spans="1:10" ht="18" customHeight="1" x14ac:dyDescent="0.25">
      <c r="A960" s="12"/>
      <c r="B960" s="11">
        <v>688</v>
      </c>
      <c r="C960" s="11" t="str">
        <f>IFERROR(VLOOKUP(B960,[1]customers!$A:$B,2,0),"")</f>
        <v>Tri-Seal OPCO LLC (Tekni-Plex)</v>
      </c>
      <c r="D960" s="11" t="s">
        <v>3143</v>
      </c>
      <c r="E960" s="11" t="s">
        <v>3156</v>
      </c>
      <c r="F960" s="11"/>
      <c r="G960" s="11" t="s">
        <v>3157</v>
      </c>
      <c r="H960" s="11" t="s">
        <v>3158</v>
      </c>
      <c r="I960" s="11" t="s">
        <v>3159</v>
      </c>
      <c r="J960" s="13"/>
    </row>
    <row r="961" spans="1:10" ht="18" customHeight="1" x14ac:dyDescent="0.25">
      <c r="A961" s="12"/>
      <c r="B961" s="11">
        <v>310</v>
      </c>
      <c r="C961" s="11" t="str">
        <f>IFERROR(VLOOKUP(B961,[1]customers!$A:$B,2,0),"")</f>
        <v>HEH Group</v>
      </c>
      <c r="D961" s="11" t="s">
        <v>3160</v>
      </c>
      <c r="E961" s="11" t="s">
        <v>3161</v>
      </c>
      <c r="F961" s="11"/>
      <c r="G961" s="11"/>
      <c r="H961" s="11"/>
      <c r="I961" s="11" t="s">
        <v>3162</v>
      </c>
      <c r="J961" s="13"/>
    </row>
    <row r="962" spans="1:10" ht="18" customHeight="1" x14ac:dyDescent="0.25">
      <c r="A962" s="12"/>
      <c r="B962" s="11">
        <v>310</v>
      </c>
      <c r="C962" s="11" t="str">
        <f>IFERROR(VLOOKUP(B962,[1]customers!$A:$B,2,0),"")</f>
        <v>HEH Group</v>
      </c>
      <c r="D962" s="11" t="s">
        <v>3160</v>
      </c>
      <c r="E962" s="11" t="s">
        <v>3163</v>
      </c>
      <c r="F962" s="11"/>
      <c r="G962" s="11" t="s">
        <v>3164</v>
      </c>
      <c r="H962" s="11"/>
      <c r="I962" s="11" t="s">
        <v>3165</v>
      </c>
      <c r="J962" s="13"/>
    </row>
    <row r="963" spans="1:10" ht="18" customHeight="1" x14ac:dyDescent="0.25">
      <c r="A963" s="12"/>
      <c r="B963" s="11">
        <v>310</v>
      </c>
      <c r="C963" s="11" t="str">
        <f>IFERROR(VLOOKUP(B963,[1]customers!$A:$B,2,0),"")</f>
        <v>HEH Group</v>
      </c>
      <c r="D963" s="11" t="s">
        <v>3160</v>
      </c>
      <c r="E963" s="11" t="s">
        <v>3166</v>
      </c>
      <c r="F963" s="11"/>
      <c r="G963" s="11"/>
      <c r="H963" s="11"/>
      <c r="I963" s="11" t="s">
        <v>3167</v>
      </c>
      <c r="J963" s="13"/>
    </row>
    <row r="964" spans="1:10" ht="18" customHeight="1" x14ac:dyDescent="0.25">
      <c r="A964" s="12"/>
      <c r="B964" s="11">
        <v>687</v>
      </c>
      <c r="C964" s="11" t="str">
        <f>IFERROR(VLOOKUP(B964,[1]customers!$A:$B,2,0),"")</f>
        <v>Treno Services LLC</v>
      </c>
      <c r="D964" s="11" t="s">
        <v>3168</v>
      </c>
      <c r="E964" s="11" t="s">
        <v>3169</v>
      </c>
      <c r="F964" s="11"/>
      <c r="G964" s="11" t="s">
        <v>3170</v>
      </c>
      <c r="H964" s="11" t="s">
        <v>3171</v>
      </c>
      <c r="I964" s="11" t="s">
        <v>3172</v>
      </c>
      <c r="J964" s="13"/>
    </row>
    <row r="965" spans="1:10" ht="18" customHeight="1" x14ac:dyDescent="0.25">
      <c r="A965" s="12"/>
      <c r="B965" s="11">
        <v>731</v>
      </c>
      <c r="C965" s="11" t="str">
        <f>IFERROR(VLOOKUP(B965,[1]customers!$A:$B,2,0),"")</f>
        <v>Wyman Gordon</v>
      </c>
      <c r="D965" s="11" t="s">
        <v>3173</v>
      </c>
      <c r="E965" s="11" t="s">
        <v>3174</v>
      </c>
      <c r="F965" s="11"/>
      <c r="G965" s="11" t="s">
        <v>3175</v>
      </c>
      <c r="H965" s="11"/>
      <c r="I965" s="11" t="s">
        <v>3176</v>
      </c>
      <c r="J965" s="13"/>
    </row>
    <row r="966" spans="1:10" ht="18" customHeight="1" x14ac:dyDescent="0.25">
      <c r="A966" s="12"/>
      <c r="B966" s="11">
        <v>731</v>
      </c>
      <c r="C966" s="11" t="str">
        <f>IFERROR(VLOOKUP(B966,[1]customers!$A:$B,2,0),"")</f>
        <v>Wyman Gordon</v>
      </c>
      <c r="D966" s="11" t="s">
        <v>3173</v>
      </c>
      <c r="E966" s="11" t="s">
        <v>3174</v>
      </c>
      <c r="F966" s="11"/>
      <c r="G966" s="11" t="s">
        <v>3175</v>
      </c>
      <c r="H966" s="11"/>
      <c r="I966" s="11" t="s">
        <v>3176</v>
      </c>
      <c r="J966" s="13"/>
    </row>
    <row r="967" spans="1:10" ht="18" customHeight="1" x14ac:dyDescent="0.25">
      <c r="A967" s="12"/>
      <c r="B967" s="11">
        <v>734</v>
      </c>
      <c r="C967" s="11" t="str">
        <f>IFERROR(VLOOKUP(B967,[1]customers!$A:$B,2,0),"")</f>
        <v>Yokohama Tire Corporation</v>
      </c>
      <c r="D967" s="11" t="s">
        <v>3177</v>
      </c>
      <c r="E967" s="11" t="s">
        <v>3178</v>
      </c>
      <c r="F967" s="11"/>
      <c r="G967" s="11" t="s">
        <v>3179</v>
      </c>
      <c r="H967" s="11"/>
      <c r="I967" s="11" t="s">
        <v>3180</v>
      </c>
      <c r="J967" s="13"/>
    </row>
    <row r="968" spans="1:10" ht="18" customHeight="1" x14ac:dyDescent="0.25">
      <c r="A968" s="12"/>
      <c r="B968" s="11">
        <v>735</v>
      </c>
      <c r="C968" s="11" t="str">
        <f>IFERROR(VLOOKUP(B968,[1]customers!$A:$B,2,0),"")</f>
        <v>Zagar</v>
      </c>
      <c r="D968" s="11" t="s">
        <v>3181</v>
      </c>
      <c r="E968" s="11" t="s">
        <v>3182</v>
      </c>
      <c r="F968" s="11"/>
      <c r="G968" s="11" t="s">
        <v>3183</v>
      </c>
      <c r="H968" s="11" t="s">
        <v>3184</v>
      </c>
      <c r="I968" s="11" t="s">
        <v>3185</v>
      </c>
      <c r="J968" s="13"/>
    </row>
    <row r="969" spans="1:10" ht="18" customHeight="1" x14ac:dyDescent="0.25">
      <c r="A969" s="12"/>
      <c r="B969" s="11">
        <v>735</v>
      </c>
      <c r="C969" s="11" t="str">
        <f>IFERROR(VLOOKUP(B969,[1]customers!$A:$B,2,0),"")</f>
        <v>Zagar</v>
      </c>
      <c r="D969" s="11" t="s">
        <v>3181</v>
      </c>
      <c r="E969" s="11" t="s">
        <v>3186</v>
      </c>
      <c r="F969" s="11"/>
      <c r="G969" s="11" t="s">
        <v>3187</v>
      </c>
      <c r="H969" s="11"/>
      <c r="I969" s="11" t="s">
        <v>3185</v>
      </c>
      <c r="J969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A43D-6A9C-41DF-B927-225FB10B23A2}">
  <dimension ref="A1:L635"/>
  <sheetViews>
    <sheetView workbookViewId="0">
      <selection activeCell="C14" sqref="C14"/>
    </sheetView>
  </sheetViews>
  <sheetFormatPr defaultColWidth="8.7109375" defaultRowHeight="15" x14ac:dyDescent="0.25"/>
  <cols>
    <col min="1" max="1" width="8" customWidth="1"/>
    <col min="2" max="2" width="14.140625" customWidth="1"/>
    <col min="3" max="3" width="44" customWidth="1"/>
    <col min="4" max="5" width="19.7109375" customWidth="1"/>
    <col min="6" max="6" width="42" customWidth="1"/>
    <col min="7" max="7" width="26" customWidth="1"/>
    <col min="8" max="8" width="18" customWidth="1"/>
    <col min="9" max="9" width="34" customWidth="1"/>
    <col min="10" max="11" width="18" customWidth="1"/>
    <col min="12" max="12" width="12.5703125" customWidth="1"/>
  </cols>
  <sheetData>
    <row r="1" spans="1:12" ht="18" customHeight="1" x14ac:dyDescent="0.25">
      <c r="A1" s="1" t="s">
        <v>0</v>
      </c>
      <c r="B1" s="2" t="s">
        <v>1</v>
      </c>
      <c r="C1" s="2" t="s">
        <v>2</v>
      </c>
      <c r="D1" s="2" t="s">
        <v>3188</v>
      </c>
      <c r="E1" s="2" t="s">
        <v>3189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ht="18" customHeight="1" x14ac:dyDescent="0.25">
      <c r="A2" s="12"/>
      <c r="B2" s="11" t="s">
        <v>3190</v>
      </c>
      <c r="C2" s="11" t="str">
        <f>IFERROR(VLOOKUP(B2,[1]customers!$A:$B,2,0),"")</f>
        <v/>
      </c>
      <c r="D2" s="11" t="s">
        <v>3191</v>
      </c>
      <c r="E2" s="11" t="str" cm="1">
        <f t="array" ref="E2">IF(Table15[[#This Row],[Scott Correction]]="",Table15[[#This Row],[customer_id]],_xlfn.XLOOKUP(Table15[[#This Row],[Scott Correction]],[1]!Table2[[#All],[name]],[1]!Table2[[#All],[id]],"",0,1))</f>
        <v/>
      </c>
      <c r="F2" s="11" t="s">
        <v>3192</v>
      </c>
      <c r="G2" s="11" t="s">
        <v>3193</v>
      </c>
      <c r="H2" s="11"/>
      <c r="I2" s="11" t="s">
        <v>3194</v>
      </c>
      <c r="J2" s="11"/>
      <c r="K2" s="11"/>
      <c r="L2" s="13"/>
    </row>
    <row r="3" spans="1:12" ht="18" customHeight="1" x14ac:dyDescent="0.25">
      <c r="A3" s="12"/>
      <c r="B3" s="11" t="s">
        <v>3190</v>
      </c>
      <c r="C3" s="11" t="str">
        <f>IFERROR(VLOOKUP(B3,[1]customers!$A:$B,2,0),"")</f>
        <v/>
      </c>
      <c r="D3" s="11" t="s">
        <v>3191</v>
      </c>
      <c r="E3" s="11" t="str" cm="1">
        <f t="array" ref="E3">IF(Table15[[#This Row],[Scott Correction]]="",Table15[[#This Row],[customer_id]],_xlfn.XLOOKUP(Table15[[#This Row],[Scott Correction]],[1]!Table2[[#All],[name]],[1]!Table2[[#All],[id]],"",0,1))</f>
        <v/>
      </c>
      <c r="F3" s="11" t="s">
        <v>3195</v>
      </c>
      <c r="G3" s="11" t="s">
        <v>3196</v>
      </c>
      <c r="H3" s="11"/>
      <c r="I3" s="11" t="s">
        <v>3197</v>
      </c>
      <c r="J3" s="11"/>
      <c r="K3" s="11">
        <v>3306449993</v>
      </c>
      <c r="L3" s="13"/>
    </row>
    <row r="4" spans="1:12" ht="18" customHeight="1" x14ac:dyDescent="0.25">
      <c r="A4" s="12"/>
      <c r="B4" s="11" t="s">
        <v>3190</v>
      </c>
      <c r="C4" s="11" t="str">
        <f>IFERROR(VLOOKUP(B4,[1]customers!$A:$B,2,0),"")</f>
        <v/>
      </c>
      <c r="D4" s="11" t="s">
        <v>3191</v>
      </c>
      <c r="E4" s="11" t="str" cm="1">
        <f t="array" ref="E4">IF(Table15[[#This Row],[Scott Correction]]="",Table15[[#This Row],[customer_id]],_xlfn.XLOOKUP(Table15[[#This Row],[Scott Correction]],[1]!Table2[[#All],[name]],[1]!Table2[[#All],[id]],"",0,1))</f>
        <v/>
      </c>
      <c r="F4" s="11" t="s">
        <v>3198</v>
      </c>
      <c r="G4" s="11" t="s">
        <v>3199</v>
      </c>
      <c r="H4" s="11"/>
      <c r="I4" s="11" t="s">
        <v>3200</v>
      </c>
      <c r="J4" s="11"/>
      <c r="K4" s="11" t="s">
        <v>3201</v>
      </c>
      <c r="L4" s="13"/>
    </row>
    <row r="5" spans="1:12" ht="18" customHeight="1" x14ac:dyDescent="0.25">
      <c r="A5" s="12"/>
      <c r="B5" s="11" t="s">
        <v>3190</v>
      </c>
      <c r="C5" s="11" t="str">
        <f>IFERROR(VLOOKUP(B5,[1]customers!$A:$B,2,0),"")</f>
        <v/>
      </c>
      <c r="D5" s="11" t="s">
        <v>3191</v>
      </c>
      <c r="E5" s="11" t="str" cm="1">
        <f t="array" ref="E5">IF(Table15[[#This Row],[Scott Correction]]="",Table15[[#This Row],[customer_id]],_xlfn.XLOOKUP(Table15[[#This Row],[Scott Correction]],[1]!Table2[[#All],[name]],[1]!Table2[[#All],[id]],"",0,1))</f>
        <v/>
      </c>
      <c r="F5" s="11" t="s">
        <v>3202</v>
      </c>
      <c r="G5" s="11" t="s">
        <v>3203</v>
      </c>
      <c r="H5" s="11"/>
      <c r="I5" s="11" t="s">
        <v>3204</v>
      </c>
      <c r="J5" s="11"/>
      <c r="K5" s="11" t="s">
        <v>3205</v>
      </c>
      <c r="L5" s="13"/>
    </row>
    <row r="6" spans="1:12" ht="18" customHeight="1" x14ac:dyDescent="0.25">
      <c r="A6" s="12"/>
      <c r="B6" s="11" t="s">
        <v>3190</v>
      </c>
      <c r="C6" s="11" t="str">
        <f>IFERROR(VLOOKUP(B6,[1]customers!$A:$B,2,0),"")</f>
        <v/>
      </c>
      <c r="D6" s="11" t="s">
        <v>3191</v>
      </c>
      <c r="E6" s="11" t="str" cm="1">
        <f t="array" ref="E6">IF(Table15[[#This Row],[Scott Correction]]="",Table15[[#This Row],[customer_id]],_xlfn.XLOOKUP(Table15[[#This Row],[Scott Correction]],[1]!Table2[[#All],[name]],[1]!Table2[[#All],[id]],"",0,1))</f>
        <v/>
      </c>
      <c r="F6" s="11" t="s">
        <v>3206</v>
      </c>
      <c r="G6" s="11" t="s">
        <v>3207</v>
      </c>
      <c r="H6" s="11"/>
      <c r="I6" s="11" t="s">
        <v>3208</v>
      </c>
      <c r="J6" s="11"/>
      <c r="K6" s="11" t="s">
        <v>3209</v>
      </c>
      <c r="L6" s="13"/>
    </row>
    <row r="7" spans="1:12" ht="18" customHeight="1" x14ac:dyDescent="0.25">
      <c r="A7" s="12"/>
      <c r="B7" s="11" t="s">
        <v>3190</v>
      </c>
      <c r="C7" s="11" t="str">
        <f>IFERROR(VLOOKUP(B7,[1]customers!$A:$B,2,0),"")</f>
        <v/>
      </c>
      <c r="D7" s="11" t="s">
        <v>3191</v>
      </c>
      <c r="E7" s="11" t="str" cm="1">
        <f t="array" ref="E7">IF(Table15[[#This Row],[Scott Correction]]="",Table15[[#This Row],[customer_id]],_xlfn.XLOOKUP(Table15[[#This Row],[Scott Correction]],[1]!Table2[[#All],[name]],[1]!Table2[[#All],[id]],"",0,1))</f>
        <v/>
      </c>
      <c r="F7" s="11" t="s">
        <v>3210</v>
      </c>
      <c r="G7" s="11" t="s">
        <v>3211</v>
      </c>
      <c r="H7" s="11"/>
      <c r="I7" s="11" t="s">
        <v>3212</v>
      </c>
      <c r="J7" s="11"/>
      <c r="K7" s="11" t="s">
        <v>3213</v>
      </c>
      <c r="L7" s="13"/>
    </row>
    <row r="8" spans="1:12" ht="18" customHeight="1" x14ac:dyDescent="0.25">
      <c r="A8" s="12"/>
      <c r="B8" s="11" t="s">
        <v>3190</v>
      </c>
      <c r="C8" s="11" t="str">
        <f>IFERROR(VLOOKUP(B8,[1]customers!$A:$B,2,0),"")</f>
        <v/>
      </c>
      <c r="D8" s="11" t="s">
        <v>3191</v>
      </c>
      <c r="E8" s="11" t="str" cm="1">
        <f t="array" ref="E8">IF(Table15[[#This Row],[Scott Correction]]="",Table15[[#This Row],[customer_id]],_xlfn.XLOOKUP(Table15[[#This Row],[Scott Correction]],[1]!Table2[[#All],[name]],[1]!Table2[[#All],[id]],"",0,1))</f>
        <v/>
      </c>
      <c r="F8" s="11" t="s">
        <v>3214</v>
      </c>
      <c r="G8" s="11" t="s">
        <v>3215</v>
      </c>
      <c r="H8" s="11"/>
      <c r="I8" s="11" t="s">
        <v>3216</v>
      </c>
      <c r="J8" s="11"/>
      <c r="K8" s="11" t="s">
        <v>3217</v>
      </c>
      <c r="L8" s="13"/>
    </row>
    <row r="9" spans="1:12" ht="18" customHeight="1" x14ac:dyDescent="0.25">
      <c r="A9" s="8"/>
      <c r="B9" s="5">
        <v>1</v>
      </c>
      <c r="C9" s="6" t="str">
        <f>IFERROR(VLOOKUP(B9,[1]customers!$A:$B,2,0),"")</f>
        <v>A &amp; B Import Export Inc</v>
      </c>
      <c r="D9" s="6" t="s">
        <v>3191</v>
      </c>
      <c r="E9" s="6" t="str" cm="1">
        <f t="array" ref="E9">IF(Table15[[#This Row],[Scott Correction]]="",Table15[[#This Row],[customer_id]],_xlfn.XLOOKUP(Table15[[#This Row],[Scott Correction]],[1]!Table2[[#All],[name]],[1]!Table2[[#All],[id]],"",0,1))</f>
        <v/>
      </c>
      <c r="F9" s="9" t="s">
        <v>3218</v>
      </c>
      <c r="G9" s="9" t="s">
        <v>3219</v>
      </c>
      <c r="H9" s="9"/>
      <c r="I9" s="9" t="s">
        <v>3220</v>
      </c>
      <c r="J9" s="9"/>
      <c r="K9" s="9">
        <v>5672032021</v>
      </c>
      <c r="L9" s="10"/>
    </row>
    <row r="10" spans="1:12" ht="18" customHeight="1" x14ac:dyDescent="0.25">
      <c r="A10" s="12"/>
      <c r="B10" s="11" t="s">
        <v>3190</v>
      </c>
      <c r="C10" s="11" t="str">
        <f>IFERROR(VLOOKUP(B10,[1]customers!$A:$B,2,0),"")</f>
        <v/>
      </c>
      <c r="D10" s="11" t="s">
        <v>3191</v>
      </c>
      <c r="E10" s="11" t="str" cm="1">
        <f t="array" ref="E10">IF(Table15[[#This Row],[Scott Correction]]="",Table15[[#This Row],[customer_id]],_xlfn.XLOOKUP(Table15[[#This Row],[Scott Correction]],[1]!Table2[[#All],[name]],[1]!Table2[[#All],[id]],"",0,1))</f>
        <v/>
      </c>
      <c r="F10" s="11" t="s">
        <v>3221</v>
      </c>
      <c r="G10" s="11" t="s">
        <v>3222</v>
      </c>
      <c r="H10" s="11"/>
      <c r="I10" s="11" t="s">
        <v>3223</v>
      </c>
      <c r="J10" s="11" t="s">
        <v>3224</v>
      </c>
      <c r="K10" s="11"/>
      <c r="L10" s="13"/>
    </row>
    <row r="11" spans="1:12" ht="18" customHeight="1" x14ac:dyDescent="0.25">
      <c r="A11" s="12"/>
      <c r="B11" s="11" t="s">
        <v>3190</v>
      </c>
      <c r="C11" s="11" t="str">
        <f>IFERROR(VLOOKUP(B11,[1]customers!$A:$B,2,0),"")</f>
        <v/>
      </c>
      <c r="D11" s="11" t="s">
        <v>3191</v>
      </c>
      <c r="E11" s="11" t="str" cm="1">
        <f t="array" ref="E11">IF(Table15[[#This Row],[Scott Correction]]="",Table15[[#This Row],[customer_id]],_xlfn.XLOOKUP(Table15[[#This Row],[Scott Correction]],[1]!Table2[[#All],[name]],[1]!Table2[[#All],[id]],"",0,1))</f>
        <v/>
      </c>
      <c r="F11" s="11" t="s">
        <v>3225</v>
      </c>
      <c r="G11" s="11" t="s">
        <v>3226</v>
      </c>
      <c r="H11" s="11"/>
      <c r="I11" s="11" t="s">
        <v>3227</v>
      </c>
      <c r="J11" s="11" t="s">
        <v>3228</v>
      </c>
      <c r="K11" s="11" t="s">
        <v>3229</v>
      </c>
      <c r="L11" s="13"/>
    </row>
    <row r="12" spans="1:12" ht="18" customHeight="1" x14ac:dyDescent="0.25">
      <c r="A12" s="12"/>
      <c r="B12" s="11" t="s">
        <v>3190</v>
      </c>
      <c r="C12" s="11" t="str">
        <f>IFERROR(VLOOKUP(B12,[1]customers!$A:$B,2,0),"")</f>
        <v/>
      </c>
      <c r="D12" s="11" t="s">
        <v>3191</v>
      </c>
      <c r="E12" s="11" t="str" cm="1">
        <f t="array" ref="E12">IF(Table15[[#This Row],[Scott Correction]]="",Table15[[#This Row],[customer_id]],_xlfn.XLOOKUP(Table15[[#This Row],[Scott Correction]],[1]!Table2[[#All],[name]],[1]!Table2[[#All],[id]],"",0,1))</f>
        <v/>
      </c>
      <c r="F12" s="11" t="s">
        <v>3230</v>
      </c>
      <c r="G12" s="11" t="s">
        <v>3231</v>
      </c>
      <c r="H12" s="11"/>
      <c r="I12" s="11" t="s">
        <v>3232</v>
      </c>
      <c r="J12" s="11" t="s">
        <v>3233</v>
      </c>
      <c r="K12" s="11" t="s">
        <v>3234</v>
      </c>
      <c r="L12" s="13"/>
    </row>
    <row r="13" spans="1:12" ht="18" customHeight="1" x14ac:dyDescent="0.25">
      <c r="A13" s="12"/>
      <c r="B13" s="11" t="s">
        <v>3190</v>
      </c>
      <c r="C13" s="11" t="str">
        <f>IFERROR(VLOOKUP(B13,[1]customers!$A:$B,2,0),"")</f>
        <v/>
      </c>
      <c r="D13" s="11" t="s">
        <v>3191</v>
      </c>
      <c r="E13" s="11" t="str" cm="1">
        <f t="array" ref="E13">IF(Table15[[#This Row],[Scott Correction]]="",Table15[[#This Row],[customer_id]],_xlfn.XLOOKUP(Table15[[#This Row],[Scott Correction]],[1]!Table2[[#All],[name]],[1]!Table2[[#All],[id]],"",0,1))</f>
        <v/>
      </c>
      <c r="F13" s="11" t="s">
        <v>3235</v>
      </c>
      <c r="G13" s="11" t="s">
        <v>3236</v>
      </c>
      <c r="H13" s="11"/>
      <c r="I13" s="11" t="s">
        <v>3237</v>
      </c>
      <c r="J13" s="11"/>
      <c r="K13" s="11" t="s">
        <v>3238</v>
      </c>
      <c r="L13" s="13"/>
    </row>
    <row r="14" spans="1:12" ht="18" customHeight="1" x14ac:dyDescent="0.25">
      <c r="A14" s="12"/>
      <c r="B14" s="11" t="s">
        <v>3190</v>
      </c>
      <c r="C14" s="11" t="str">
        <f>IFERROR(VLOOKUP(B14,[1]customers!$A:$B,2,0),"")</f>
        <v/>
      </c>
      <c r="D14" s="11" t="s">
        <v>3191</v>
      </c>
      <c r="E14" s="11" t="str" cm="1">
        <f t="array" ref="E14">IF(Table15[[#This Row],[Scott Correction]]="",Table15[[#This Row],[customer_id]],_xlfn.XLOOKUP(Table15[[#This Row],[Scott Correction]],[1]!Table2[[#All],[name]],[1]!Table2[[#All],[id]],"",0,1))</f>
        <v/>
      </c>
      <c r="F14" s="11" t="s">
        <v>3239</v>
      </c>
      <c r="G14" s="11" t="s">
        <v>3240</v>
      </c>
      <c r="H14" s="11"/>
      <c r="I14" s="11" t="s">
        <v>3241</v>
      </c>
      <c r="J14" s="11"/>
      <c r="K14" s="11" t="s">
        <v>3242</v>
      </c>
      <c r="L14" s="13"/>
    </row>
    <row r="15" spans="1:12" ht="18" customHeight="1" x14ac:dyDescent="0.25">
      <c r="A15" s="8"/>
      <c r="B15" s="9">
        <v>201</v>
      </c>
      <c r="C15" s="6" t="str">
        <f>IFERROR(VLOOKUP(B15,[1]customers!$A:$B,2,0),"")</f>
        <v>DPA Machinery</v>
      </c>
      <c r="D15" s="6" t="s">
        <v>3191</v>
      </c>
      <c r="E15" s="6" t="str" cm="1">
        <f t="array" ref="E15">IF(Table15[[#This Row],[Scott Correction]]="",Table15[[#This Row],[customer_id]],_xlfn.XLOOKUP(Table15[[#This Row],[Scott Correction]],[1]!Table2[[#All],[name]],[1]!Table2[[#All],[id]],"",0,1))</f>
        <v/>
      </c>
      <c r="F15" s="9" t="s">
        <v>3243</v>
      </c>
      <c r="G15" s="9" t="s">
        <v>3244</v>
      </c>
      <c r="H15" s="9"/>
      <c r="I15" s="9" t="s">
        <v>3245</v>
      </c>
      <c r="J15" s="9" t="s">
        <v>3246</v>
      </c>
      <c r="K15" s="9"/>
      <c r="L15" s="10"/>
    </row>
    <row r="16" spans="1:12" ht="18" customHeight="1" x14ac:dyDescent="0.25">
      <c r="A16" s="12"/>
      <c r="B16" s="11" t="s">
        <v>3190</v>
      </c>
      <c r="C16" s="11" t="str">
        <f>IFERROR(VLOOKUP(B16,[1]customers!$A:$B,2,0),"")</f>
        <v/>
      </c>
      <c r="D16" s="11" t="s">
        <v>3191</v>
      </c>
      <c r="E16" s="11" t="str" cm="1">
        <f t="array" ref="E16">IF(Table15[[#This Row],[Scott Correction]]="",Table15[[#This Row],[customer_id]],_xlfn.XLOOKUP(Table15[[#This Row],[Scott Correction]],[1]!Table2[[#All],[name]],[1]!Table2[[#All],[id]],"",0,1))</f>
        <v/>
      </c>
      <c r="F16" s="11" t="s">
        <v>3247</v>
      </c>
      <c r="G16" s="11" t="s">
        <v>3248</v>
      </c>
      <c r="H16" s="11"/>
      <c r="I16" s="11" t="s">
        <v>3249</v>
      </c>
      <c r="J16" s="11"/>
      <c r="K16" s="11" t="s">
        <v>3250</v>
      </c>
      <c r="L16" s="13"/>
    </row>
    <row r="17" spans="1:12" ht="18" customHeight="1" x14ac:dyDescent="0.25">
      <c r="A17" s="8"/>
      <c r="B17" s="9">
        <v>226</v>
      </c>
      <c r="C17" s="6" t="str">
        <f>IFERROR(VLOOKUP(B17,[1]customers!$A:$B,2,0),"")</f>
        <v>Encore Plastics</v>
      </c>
      <c r="D17" s="6" t="s">
        <v>3191</v>
      </c>
      <c r="E17" s="6" t="str" cm="1">
        <f t="array" ref="E17">IF(Table15[[#This Row],[Scott Correction]]="",Table15[[#This Row],[customer_id]],_xlfn.XLOOKUP(Table15[[#This Row],[Scott Correction]],[1]!Table2[[#All],[name]],[1]!Table2[[#All],[id]],"",0,1))</f>
        <v/>
      </c>
      <c r="F17" s="9" t="s">
        <v>3251</v>
      </c>
      <c r="G17" s="9" t="s">
        <v>3252</v>
      </c>
      <c r="H17" s="9"/>
      <c r="I17" s="9" t="s">
        <v>3253</v>
      </c>
      <c r="J17" s="9" t="s">
        <v>3254</v>
      </c>
      <c r="K17" s="9" t="s">
        <v>3255</v>
      </c>
      <c r="L17" s="10"/>
    </row>
    <row r="18" spans="1:12" ht="18" customHeight="1" x14ac:dyDescent="0.25">
      <c r="A18" s="12"/>
      <c r="B18" s="11" t="s">
        <v>3190</v>
      </c>
      <c r="C18" s="11" t="str">
        <f>IFERROR(VLOOKUP(B18,[1]customers!$A:$B,2,0),"")</f>
        <v/>
      </c>
      <c r="D18" s="11" t="s">
        <v>3191</v>
      </c>
      <c r="E18" s="11" t="str" cm="1">
        <f t="array" ref="E18">IF(Table15[[#This Row],[Scott Correction]]="",Table15[[#This Row],[customer_id]],_xlfn.XLOOKUP(Table15[[#This Row],[Scott Correction]],[1]!Table2[[#All],[name]],[1]!Table2[[#All],[id]],"",0,1))</f>
        <v/>
      </c>
      <c r="F18" s="11" t="s">
        <v>3256</v>
      </c>
      <c r="G18" s="11" t="s">
        <v>3257</v>
      </c>
      <c r="H18" s="11"/>
      <c r="I18" s="11" t="s">
        <v>3258</v>
      </c>
      <c r="J18" s="11"/>
      <c r="K18" s="11" t="s">
        <v>3259</v>
      </c>
      <c r="L18" s="13"/>
    </row>
    <row r="19" spans="1:12" ht="18" customHeight="1" x14ac:dyDescent="0.25">
      <c r="A19" s="8"/>
      <c r="B19" s="9">
        <v>196</v>
      </c>
      <c r="C19" s="6" t="str">
        <f>IFERROR(VLOOKUP(B19,[1]customers!$A:$B,2,0),"")</f>
        <v>DK Manufacturing</v>
      </c>
      <c r="D19" s="6" t="s">
        <v>3191</v>
      </c>
      <c r="E19" s="6" t="str" cm="1">
        <f t="array" ref="E19">IF(Table15[[#This Row],[Scott Correction]]="",Table15[[#This Row],[customer_id]],_xlfn.XLOOKUP(Table15[[#This Row],[Scott Correction]],[1]!Table2[[#All],[name]],[1]!Table2[[#All],[id]],"",0,1))</f>
        <v/>
      </c>
      <c r="F19" s="9" t="s">
        <v>3260</v>
      </c>
      <c r="G19" s="9" t="s">
        <v>3261</v>
      </c>
      <c r="H19" s="9"/>
      <c r="I19" s="9" t="s">
        <v>3262</v>
      </c>
      <c r="J19" s="9"/>
      <c r="K19" s="9" t="s">
        <v>3263</v>
      </c>
      <c r="L19" s="10"/>
    </row>
    <row r="20" spans="1:12" ht="18" customHeight="1" x14ac:dyDescent="0.25">
      <c r="A20" s="8"/>
      <c r="B20" s="9">
        <v>562</v>
      </c>
      <c r="C20" s="6" t="str">
        <f>IFERROR(VLOOKUP(B20,[1]customers!$A:$B,2,0),"")</f>
        <v>Resco Products Inc</v>
      </c>
      <c r="D20" s="6" t="s">
        <v>3191</v>
      </c>
      <c r="E20" s="6" t="str" cm="1">
        <f t="array" ref="E20">IF(Table15[[#This Row],[Scott Correction]]="",Table15[[#This Row],[customer_id]],_xlfn.XLOOKUP(Table15[[#This Row],[Scott Correction]],[1]!Table2[[#All],[name]],[1]!Table2[[#All],[id]],"",0,1))</f>
        <v/>
      </c>
      <c r="F20" s="9" t="s">
        <v>3264</v>
      </c>
      <c r="G20" s="9" t="s">
        <v>3265</v>
      </c>
      <c r="H20" s="9"/>
      <c r="I20" s="9"/>
      <c r="J20" s="9"/>
      <c r="K20" s="9" t="s">
        <v>3266</v>
      </c>
      <c r="L20" s="10"/>
    </row>
    <row r="21" spans="1:12" ht="18" customHeight="1" x14ac:dyDescent="0.25">
      <c r="A21" s="12"/>
      <c r="B21" s="11" t="s">
        <v>3190</v>
      </c>
      <c r="C21" s="11" t="str">
        <f>IFERROR(VLOOKUP(B21,[1]customers!$A:$B,2,0),"")</f>
        <v/>
      </c>
      <c r="D21" s="11" t="s">
        <v>3191</v>
      </c>
      <c r="E21" s="11" t="str" cm="1">
        <f t="array" ref="E21">IF(Table15[[#This Row],[Scott Correction]]="",Table15[[#This Row],[customer_id]],_xlfn.XLOOKUP(Table15[[#This Row],[Scott Correction]],[1]!Table2[[#All],[name]],[1]!Table2[[#All],[id]],"",0,1))</f>
        <v/>
      </c>
      <c r="F21" s="11" t="s">
        <v>3267</v>
      </c>
      <c r="G21" s="11" t="s">
        <v>3268</v>
      </c>
      <c r="H21" s="11"/>
      <c r="I21" s="11" t="s">
        <v>3269</v>
      </c>
      <c r="J21" s="11" t="s">
        <v>3270</v>
      </c>
      <c r="K21" s="11" t="s">
        <v>3271</v>
      </c>
      <c r="L21" s="13"/>
    </row>
    <row r="22" spans="1:12" ht="18" customHeight="1" x14ac:dyDescent="0.25">
      <c r="A22" s="12"/>
      <c r="B22" s="11" t="s">
        <v>3190</v>
      </c>
      <c r="C22" s="11" t="str">
        <f>IFERROR(VLOOKUP(B22,[1]customers!$A:$B,2,0),"")</f>
        <v/>
      </c>
      <c r="D22" s="11" t="s">
        <v>3191</v>
      </c>
      <c r="E22" s="11" t="str" cm="1">
        <f t="array" ref="E22">IF(Table15[[#This Row],[Scott Correction]]="",Table15[[#This Row],[customer_id]],_xlfn.XLOOKUP(Table15[[#This Row],[Scott Correction]],[1]!Table2[[#All],[name]],[1]!Table2[[#All],[id]],"",0,1))</f>
        <v/>
      </c>
      <c r="F22" s="11" t="s">
        <v>3267</v>
      </c>
      <c r="G22" s="11" t="s">
        <v>3272</v>
      </c>
      <c r="H22" s="11"/>
      <c r="I22" s="11" t="s">
        <v>3273</v>
      </c>
      <c r="J22" s="11" t="s">
        <v>3274</v>
      </c>
      <c r="K22" s="11" t="s">
        <v>3275</v>
      </c>
      <c r="L22" s="13"/>
    </row>
    <row r="23" spans="1:12" ht="18" customHeight="1" x14ac:dyDescent="0.25">
      <c r="A23" s="4"/>
      <c r="B23" s="5">
        <v>301</v>
      </c>
      <c r="C23" s="6" t="str">
        <f>IFERROR(VLOOKUP(B23,[1]customers!$A:$B,2,0),"")</f>
        <v>GS Steel</v>
      </c>
      <c r="D23" s="6" t="s">
        <v>3191</v>
      </c>
      <c r="E23" s="6" t="str" cm="1">
        <f t="array" ref="E23">IF(Table15[[#This Row],[Scott Correction]]="",Table15[[#This Row],[customer_id]],_xlfn.XLOOKUP(Table15[[#This Row],[Scott Correction]],[1]!Table2[[#All],[name]],[1]!Table2[[#All],[id]],"",0,1))</f>
        <v/>
      </c>
      <c r="F23" s="5" t="s">
        <v>3276</v>
      </c>
      <c r="G23" s="5" t="s">
        <v>74</v>
      </c>
      <c r="H23" s="5"/>
      <c r="I23" s="5" t="s">
        <v>3277</v>
      </c>
      <c r="J23" s="5"/>
      <c r="K23" s="5" t="s">
        <v>3278</v>
      </c>
      <c r="L23" s="7"/>
    </row>
    <row r="24" spans="1:12" ht="18" customHeight="1" x14ac:dyDescent="0.25">
      <c r="A24" s="12"/>
      <c r="B24" s="11" t="s">
        <v>3190</v>
      </c>
      <c r="C24" s="11" t="str">
        <f>IFERROR(VLOOKUP(B24,[1]customers!$A:$B,2,0),"")</f>
        <v/>
      </c>
      <c r="D24" s="11" t="s">
        <v>3191</v>
      </c>
      <c r="E24" s="11" t="str" cm="1">
        <f t="array" ref="E24">IF(Table15[[#This Row],[Scott Correction]]="",Table15[[#This Row],[customer_id]],_xlfn.XLOOKUP(Table15[[#This Row],[Scott Correction]],[1]!Table2[[#All],[name]],[1]!Table2[[#All],[id]],"",0,1))</f>
        <v/>
      </c>
      <c r="F24" s="11" t="s">
        <v>3279</v>
      </c>
      <c r="G24" s="11" t="s">
        <v>3280</v>
      </c>
      <c r="H24" s="11"/>
      <c r="I24" s="11"/>
      <c r="J24" s="11"/>
      <c r="K24" s="11" t="s">
        <v>3281</v>
      </c>
      <c r="L24" s="13"/>
    </row>
    <row r="25" spans="1:12" ht="18" customHeight="1" x14ac:dyDescent="0.25">
      <c r="A25" s="12"/>
      <c r="B25" s="11" t="s">
        <v>3190</v>
      </c>
      <c r="C25" s="11" t="str">
        <f>IFERROR(VLOOKUP(B25,[1]customers!$A:$B,2,0),"")</f>
        <v/>
      </c>
      <c r="D25" s="11" t="s">
        <v>3191</v>
      </c>
      <c r="E25" s="11" t="str" cm="1">
        <f t="array" ref="E25">IF(Table15[[#This Row],[Scott Correction]]="",Table15[[#This Row],[customer_id]],_xlfn.XLOOKUP(Table15[[#This Row],[Scott Correction]],[1]!Table2[[#All],[name]],[1]!Table2[[#All],[id]],"",0,1))</f>
        <v/>
      </c>
      <c r="F25" s="11" t="s">
        <v>3282</v>
      </c>
      <c r="G25" s="11" t="s">
        <v>3283</v>
      </c>
      <c r="H25" s="11"/>
      <c r="I25" s="11" t="s">
        <v>3284</v>
      </c>
      <c r="J25" s="11"/>
      <c r="K25" s="11" t="s">
        <v>3285</v>
      </c>
      <c r="L25" s="13"/>
    </row>
    <row r="26" spans="1:12" ht="18" customHeight="1" x14ac:dyDescent="0.25">
      <c r="A26" s="4"/>
      <c r="B26" s="5">
        <v>277</v>
      </c>
      <c r="C26" s="6" t="str">
        <f>IFERROR(VLOOKUP(B26,[1]customers!$A:$B,2,0),"")</f>
        <v>GCS Industrial Services, LTD</v>
      </c>
      <c r="D26" s="6" t="s">
        <v>3191</v>
      </c>
      <c r="E26" s="6" t="str" cm="1">
        <f t="array" ref="E26">IF(Table15[[#This Row],[Scott Correction]]="",Table15[[#This Row],[customer_id]],_xlfn.XLOOKUP(Table15[[#This Row],[Scott Correction]],[1]!Table2[[#All],[name]],[1]!Table2[[#All],[id]],"",0,1))</f>
        <v/>
      </c>
      <c r="F26" s="5" t="s">
        <v>3286</v>
      </c>
      <c r="G26" s="5" t="s">
        <v>3287</v>
      </c>
      <c r="H26" s="5"/>
      <c r="I26" s="5" t="s">
        <v>3288</v>
      </c>
      <c r="J26" s="5" t="s">
        <v>3289</v>
      </c>
      <c r="K26" s="5" t="s">
        <v>3290</v>
      </c>
      <c r="L26" s="7"/>
    </row>
    <row r="27" spans="1:12" ht="18" customHeight="1" x14ac:dyDescent="0.25">
      <c r="A27" s="12"/>
      <c r="B27" s="11" t="s">
        <v>3190</v>
      </c>
      <c r="C27" s="11" t="str">
        <f>IFERROR(VLOOKUP(B27,[1]customers!$A:$B,2,0),"")</f>
        <v/>
      </c>
      <c r="D27" s="11" t="s">
        <v>3191</v>
      </c>
      <c r="E27" s="11" t="str" cm="1">
        <f t="array" ref="E27">IF(Table15[[#This Row],[Scott Correction]]="",Table15[[#This Row],[customer_id]],_xlfn.XLOOKUP(Table15[[#This Row],[Scott Correction]],[1]!Table2[[#All],[name]],[1]!Table2[[#All],[id]],"",0,1))</f>
        <v/>
      </c>
      <c r="F27" s="11" t="s">
        <v>3291</v>
      </c>
      <c r="G27" s="11" t="s">
        <v>3292</v>
      </c>
      <c r="H27" s="11"/>
      <c r="I27" s="11" t="s">
        <v>3293</v>
      </c>
      <c r="J27" s="11" t="s">
        <v>3294</v>
      </c>
      <c r="K27" s="11" t="s">
        <v>3295</v>
      </c>
      <c r="L27" s="13"/>
    </row>
    <row r="28" spans="1:12" ht="18" customHeight="1" x14ac:dyDescent="0.25">
      <c r="A28" s="8"/>
      <c r="B28" s="9">
        <v>81</v>
      </c>
      <c r="C28" s="6" t="str">
        <f>IFERROR(VLOOKUP(B28,[1]customers!$A:$B,2,0),"")</f>
        <v>Baking Enterprises</v>
      </c>
      <c r="D28" s="6" t="s">
        <v>3191</v>
      </c>
      <c r="E28" s="6" t="str" cm="1">
        <f t="array" ref="E28">IF(Table15[[#This Row],[Scott Correction]]="",Table15[[#This Row],[customer_id]],_xlfn.XLOOKUP(Table15[[#This Row],[Scott Correction]],[1]!Table2[[#All],[name]],[1]!Table2[[#All],[id]],"",0,1))</f>
        <v/>
      </c>
      <c r="F28" s="9" t="s">
        <v>3296</v>
      </c>
      <c r="G28" s="9" t="s">
        <v>3297</v>
      </c>
      <c r="H28" s="9"/>
      <c r="I28" s="9" t="s">
        <v>3298</v>
      </c>
      <c r="J28" s="9"/>
      <c r="K28" s="9" t="s">
        <v>3299</v>
      </c>
      <c r="L28" s="10"/>
    </row>
    <row r="29" spans="1:12" ht="18" customHeight="1" x14ac:dyDescent="0.25">
      <c r="A29" s="4"/>
      <c r="B29" s="5">
        <v>81</v>
      </c>
      <c r="C29" s="6" t="str">
        <f>IFERROR(VLOOKUP(B29,[1]customers!$A:$B,2,0),"")</f>
        <v>Baking Enterprises</v>
      </c>
      <c r="D29" s="6" t="s">
        <v>3191</v>
      </c>
      <c r="E29" s="6" t="str" cm="1">
        <f t="array" ref="E29">IF(Table15[[#This Row],[Scott Correction]]="",Table15[[#This Row],[customer_id]],_xlfn.XLOOKUP(Table15[[#This Row],[Scott Correction]],[1]!Table2[[#All],[name]],[1]!Table2[[#All],[id]],"",0,1))</f>
        <v/>
      </c>
      <c r="F29" s="5" t="s">
        <v>3296</v>
      </c>
      <c r="G29" s="5" t="s">
        <v>3300</v>
      </c>
      <c r="H29" s="5"/>
      <c r="I29" s="5"/>
      <c r="J29" s="5"/>
      <c r="K29" s="5" t="s">
        <v>3301</v>
      </c>
      <c r="L29" s="7"/>
    </row>
    <row r="30" spans="1:12" ht="18" customHeight="1" x14ac:dyDescent="0.25">
      <c r="A30" s="12"/>
      <c r="B30" s="11" t="s">
        <v>3190</v>
      </c>
      <c r="C30" s="11" t="str">
        <f>IFERROR(VLOOKUP(B30,[1]customers!$A:$B,2,0),"")</f>
        <v/>
      </c>
      <c r="D30" s="11" t="s">
        <v>3191</v>
      </c>
      <c r="E30" s="11" t="str" cm="1">
        <f t="array" ref="E30">IF(Table15[[#This Row],[Scott Correction]]="",Table15[[#This Row],[customer_id]],_xlfn.XLOOKUP(Table15[[#This Row],[Scott Correction]],[1]!Table2[[#All],[name]],[1]!Table2[[#All],[id]],"",0,1))</f>
        <v/>
      </c>
      <c r="F30" s="11" t="s">
        <v>3302</v>
      </c>
      <c r="G30" s="11" t="s">
        <v>3303</v>
      </c>
      <c r="H30" s="11"/>
      <c r="I30" s="11" t="s">
        <v>3304</v>
      </c>
      <c r="J30" s="11" t="s">
        <v>3305</v>
      </c>
      <c r="K30" s="11" t="s">
        <v>3306</v>
      </c>
      <c r="L30" s="13"/>
    </row>
    <row r="31" spans="1:12" ht="18" customHeight="1" x14ac:dyDescent="0.25">
      <c r="A31" s="12"/>
      <c r="B31" s="11" t="s">
        <v>3190</v>
      </c>
      <c r="C31" s="11" t="str">
        <f>IFERROR(VLOOKUP(B31,[1]customers!$A:$B,2,0),"")</f>
        <v/>
      </c>
      <c r="D31" s="11" t="s">
        <v>3191</v>
      </c>
      <c r="E31" s="11" t="str" cm="1">
        <f t="array" ref="E31">IF(Table15[[#This Row],[Scott Correction]]="",Table15[[#This Row],[customer_id]],_xlfn.XLOOKUP(Table15[[#This Row],[Scott Correction]],[1]!Table2[[#All],[name]],[1]!Table2[[#All],[id]],"",0,1))</f>
        <v/>
      </c>
      <c r="F31" s="11" t="s">
        <v>3302</v>
      </c>
      <c r="G31" s="11" t="s">
        <v>3307</v>
      </c>
      <c r="H31" s="11"/>
      <c r="I31" s="11" t="s">
        <v>3308</v>
      </c>
      <c r="J31" s="11" t="s">
        <v>3309</v>
      </c>
      <c r="K31" s="11" t="s">
        <v>3310</v>
      </c>
      <c r="L31" s="13"/>
    </row>
    <row r="32" spans="1:12" ht="18" customHeight="1" x14ac:dyDescent="0.25">
      <c r="A32" s="12"/>
      <c r="B32" s="11" t="s">
        <v>3190</v>
      </c>
      <c r="C32" s="11" t="str">
        <f>IFERROR(VLOOKUP(B32,[1]customers!$A:$B,2,0),"")</f>
        <v/>
      </c>
      <c r="D32" s="11" t="s">
        <v>3191</v>
      </c>
      <c r="E32" s="11" t="str" cm="1">
        <f t="array" ref="E32">IF(Table15[[#This Row],[Scott Correction]]="",Table15[[#This Row],[customer_id]],_xlfn.XLOOKUP(Table15[[#This Row],[Scott Correction]],[1]!Table2[[#All],[name]],[1]!Table2[[#All],[id]],"",0,1))</f>
        <v/>
      </c>
      <c r="F32" s="11" t="s">
        <v>3302</v>
      </c>
      <c r="G32" s="11" t="s">
        <v>3311</v>
      </c>
      <c r="H32" s="11"/>
      <c r="I32" s="11" t="s">
        <v>3312</v>
      </c>
      <c r="J32" s="11" t="s">
        <v>3313</v>
      </c>
      <c r="K32" s="11" t="s">
        <v>3306</v>
      </c>
      <c r="L32" s="13"/>
    </row>
    <row r="33" spans="1:12" ht="18" customHeight="1" x14ac:dyDescent="0.25">
      <c r="A33" s="12"/>
      <c r="B33" s="11" t="s">
        <v>3190</v>
      </c>
      <c r="C33" s="11" t="str">
        <f>IFERROR(VLOOKUP(B33,[1]customers!$A:$B,2,0),"")</f>
        <v/>
      </c>
      <c r="D33" s="11" t="s">
        <v>3191</v>
      </c>
      <c r="E33" s="11" t="str" cm="1">
        <f t="array" ref="E33">IF(Table15[[#This Row],[Scott Correction]]="",Table15[[#This Row],[customer_id]],_xlfn.XLOOKUP(Table15[[#This Row],[Scott Correction]],[1]!Table2[[#All],[name]],[1]!Table2[[#All],[id]],"",0,1))</f>
        <v/>
      </c>
      <c r="F33" s="11" t="s">
        <v>3302</v>
      </c>
      <c r="G33" s="11" t="s">
        <v>3314</v>
      </c>
      <c r="H33" s="11"/>
      <c r="I33" s="11" t="s">
        <v>3315</v>
      </c>
      <c r="J33" s="11" t="s">
        <v>3316</v>
      </c>
      <c r="K33" s="11" t="s">
        <v>3317</v>
      </c>
      <c r="L33" s="13"/>
    </row>
    <row r="34" spans="1:12" ht="18" customHeight="1" x14ac:dyDescent="0.25">
      <c r="A34" s="12"/>
      <c r="B34" s="11" t="s">
        <v>3190</v>
      </c>
      <c r="C34" s="11" t="str">
        <f>IFERROR(VLOOKUP(B34,[1]customers!$A:$B,2,0),"")</f>
        <v/>
      </c>
      <c r="D34" s="11" t="s">
        <v>3191</v>
      </c>
      <c r="E34" s="11" t="str" cm="1">
        <f t="array" ref="E34">IF(Table15[[#This Row],[Scott Correction]]="",Table15[[#This Row],[customer_id]],_xlfn.XLOOKUP(Table15[[#This Row],[Scott Correction]],[1]!Table2[[#All],[name]],[1]!Table2[[#All],[id]],"",0,1))</f>
        <v/>
      </c>
      <c r="F34" s="11" t="s">
        <v>3302</v>
      </c>
      <c r="G34" s="11" t="s">
        <v>3318</v>
      </c>
      <c r="H34" s="11"/>
      <c r="I34" s="11" t="s">
        <v>3319</v>
      </c>
      <c r="J34" s="11" t="s">
        <v>3320</v>
      </c>
      <c r="K34" s="11" t="s">
        <v>3310</v>
      </c>
      <c r="L34" s="13"/>
    </row>
    <row r="35" spans="1:12" ht="18" customHeight="1" x14ac:dyDescent="0.25">
      <c r="A35" s="12"/>
      <c r="B35" s="11" t="s">
        <v>3190</v>
      </c>
      <c r="C35" s="11" t="str">
        <f>IFERROR(VLOOKUP(B35,[1]customers!$A:$B,2,0),"")</f>
        <v/>
      </c>
      <c r="D35" s="11" t="s">
        <v>3191</v>
      </c>
      <c r="E35" s="11" t="str" cm="1">
        <f t="array" ref="E35">IF(Table15[[#This Row],[Scott Correction]]="",Table15[[#This Row],[customer_id]],_xlfn.XLOOKUP(Table15[[#This Row],[Scott Correction]],[1]!Table2[[#All],[name]],[1]!Table2[[#All],[id]],"",0,1))</f>
        <v/>
      </c>
      <c r="F35" s="11" t="s">
        <v>3321</v>
      </c>
      <c r="G35" s="11" t="s">
        <v>3322</v>
      </c>
      <c r="H35" s="11"/>
      <c r="I35" s="11" t="s">
        <v>3323</v>
      </c>
      <c r="J35" s="11"/>
      <c r="K35" s="11" t="s">
        <v>3324</v>
      </c>
      <c r="L35" s="13"/>
    </row>
    <row r="36" spans="1:12" ht="18" customHeight="1" x14ac:dyDescent="0.25">
      <c r="A36" s="12"/>
      <c r="B36" s="11" t="s">
        <v>3190</v>
      </c>
      <c r="C36" s="11" t="str">
        <f>IFERROR(VLOOKUP(B36,[1]customers!$A:$B,2,0),"")</f>
        <v/>
      </c>
      <c r="D36" s="11" t="s">
        <v>3191</v>
      </c>
      <c r="E36" s="11" t="str" cm="1">
        <f t="array" ref="E36">IF(Table15[[#This Row],[Scott Correction]]="",Table15[[#This Row],[customer_id]],_xlfn.XLOOKUP(Table15[[#This Row],[Scott Correction]],[1]!Table2[[#All],[name]],[1]!Table2[[#All],[id]],"",0,1))</f>
        <v/>
      </c>
      <c r="F36" s="11" t="s">
        <v>3325</v>
      </c>
      <c r="G36" s="11" t="s">
        <v>3326</v>
      </c>
      <c r="H36" s="11"/>
      <c r="I36" s="11" t="s">
        <v>3327</v>
      </c>
      <c r="J36" s="11"/>
      <c r="K36" s="11" t="s">
        <v>3328</v>
      </c>
      <c r="L36" s="13"/>
    </row>
    <row r="37" spans="1:12" ht="18" customHeight="1" x14ac:dyDescent="0.25">
      <c r="A37" s="12"/>
      <c r="B37" s="11" t="s">
        <v>3190</v>
      </c>
      <c r="C37" s="11" t="str">
        <f>IFERROR(VLOOKUP(B37,[1]customers!$A:$B,2,0),"")</f>
        <v/>
      </c>
      <c r="D37" s="11" t="s">
        <v>3191</v>
      </c>
      <c r="E37" s="11" t="str" cm="1">
        <f t="array" ref="E37">IF(Table15[[#This Row],[Scott Correction]]="",Table15[[#This Row],[customer_id]],_xlfn.XLOOKUP(Table15[[#This Row],[Scott Correction]],[1]!Table2[[#All],[name]],[1]!Table2[[#All],[id]],"",0,1))</f>
        <v/>
      </c>
      <c r="F37" s="11" t="s">
        <v>3329</v>
      </c>
      <c r="G37" s="11" t="s">
        <v>3330</v>
      </c>
      <c r="H37" s="11"/>
      <c r="I37" s="11" t="s">
        <v>3331</v>
      </c>
      <c r="J37" s="11" t="s">
        <v>3332</v>
      </c>
      <c r="K37" s="11" t="s">
        <v>3333</v>
      </c>
      <c r="L37" s="13"/>
    </row>
    <row r="38" spans="1:12" ht="18" customHeight="1" x14ac:dyDescent="0.25">
      <c r="A38" s="12"/>
      <c r="B38" s="11" t="s">
        <v>3190</v>
      </c>
      <c r="C38" s="11" t="str">
        <f>IFERROR(VLOOKUP(B38,[1]customers!$A:$B,2,0),"")</f>
        <v/>
      </c>
      <c r="D38" s="11" t="s">
        <v>3191</v>
      </c>
      <c r="E38" s="11" t="str" cm="1">
        <f t="array" ref="E38">IF(Table15[[#This Row],[Scott Correction]]="",Table15[[#This Row],[customer_id]],_xlfn.XLOOKUP(Table15[[#This Row],[Scott Correction]],[1]!Table2[[#All],[name]],[1]!Table2[[#All],[id]],"",0,1))</f>
        <v/>
      </c>
      <c r="F38" s="11" t="s">
        <v>3334</v>
      </c>
      <c r="G38" s="11" t="s">
        <v>3335</v>
      </c>
      <c r="H38" s="11"/>
      <c r="I38" s="11" t="s">
        <v>3336</v>
      </c>
      <c r="J38" s="11" t="s">
        <v>3337</v>
      </c>
      <c r="K38" s="11" t="s">
        <v>143</v>
      </c>
      <c r="L38" s="13"/>
    </row>
    <row r="39" spans="1:12" ht="18" customHeight="1" x14ac:dyDescent="0.25">
      <c r="A39" s="12"/>
      <c r="B39" s="11" t="s">
        <v>3190</v>
      </c>
      <c r="C39" s="11" t="str">
        <f>IFERROR(VLOOKUP(B39,[1]customers!$A:$B,2,0),"")</f>
        <v/>
      </c>
      <c r="D39" s="11" t="s">
        <v>3191</v>
      </c>
      <c r="E39" s="11" t="str" cm="1">
        <f t="array" ref="E39">IF(Table15[[#This Row],[Scott Correction]]="",Table15[[#This Row],[customer_id]],_xlfn.XLOOKUP(Table15[[#This Row],[Scott Correction]],[1]!Table2[[#All],[name]],[1]!Table2[[#All],[id]],"",0,1))</f>
        <v/>
      </c>
      <c r="F39" s="11" t="s">
        <v>3338</v>
      </c>
      <c r="G39" s="11" t="s">
        <v>3339</v>
      </c>
      <c r="H39" s="11"/>
      <c r="I39" s="11" t="s">
        <v>3340</v>
      </c>
      <c r="J39" s="11" t="s">
        <v>3341</v>
      </c>
      <c r="K39" s="11" t="s">
        <v>3342</v>
      </c>
      <c r="L39" s="13"/>
    </row>
    <row r="40" spans="1:12" ht="18" customHeight="1" x14ac:dyDescent="0.25">
      <c r="A40" s="12"/>
      <c r="B40" s="11" t="s">
        <v>3190</v>
      </c>
      <c r="C40" s="11" t="str">
        <f>IFERROR(VLOOKUP(B40,[1]customers!$A:$B,2,0),"")</f>
        <v/>
      </c>
      <c r="D40" s="11" t="s">
        <v>3191</v>
      </c>
      <c r="E40" s="11" t="str" cm="1">
        <f t="array" ref="E40">IF(Table15[[#This Row],[Scott Correction]]="",Table15[[#This Row],[customer_id]],_xlfn.XLOOKUP(Table15[[#This Row],[Scott Correction]],[1]!Table2[[#All],[name]],[1]!Table2[[#All],[id]],"",0,1))</f>
        <v/>
      </c>
      <c r="F40" s="11" t="s">
        <v>3343</v>
      </c>
      <c r="G40" s="11" t="s">
        <v>3344</v>
      </c>
      <c r="H40" s="11"/>
      <c r="I40" s="11" t="s">
        <v>3345</v>
      </c>
      <c r="J40" s="11" t="s">
        <v>3346</v>
      </c>
      <c r="K40" s="11" t="s">
        <v>3347</v>
      </c>
      <c r="L40" s="13"/>
    </row>
    <row r="41" spans="1:12" ht="18" customHeight="1" x14ac:dyDescent="0.25">
      <c r="A41" s="12"/>
      <c r="B41" s="11" t="s">
        <v>3190</v>
      </c>
      <c r="C41" s="11" t="str">
        <f>IFERROR(VLOOKUP(B41,[1]customers!$A:$B,2,0),"")</f>
        <v/>
      </c>
      <c r="D41" s="11" t="s">
        <v>3191</v>
      </c>
      <c r="E41" s="11" t="str" cm="1">
        <f t="array" ref="E41">IF(Table15[[#This Row],[Scott Correction]]="",Table15[[#This Row],[customer_id]],_xlfn.XLOOKUP(Table15[[#This Row],[Scott Correction]],[1]!Table2[[#All],[name]],[1]!Table2[[#All],[id]],"",0,1))</f>
        <v/>
      </c>
      <c r="F41" s="11" t="s">
        <v>3348</v>
      </c>
      <c r="G41" s="11" t="s">
        <v>3349</v>
      </c>
      <c r="H41" s="11"/>
      <c r="I41" s="11" t="s">
        <v>3350</v>
      </c>
      <c r="J41" s="11" t="s">
        <v>3351</v>
      </c>
      <c r="K41" s="11" t="s">
        <v>3352</v>
      </c>
      <c r="L41" s="13"/>
    </row>
    <row r="42" spans="1:12" ht="18" customHeight="1" x14ac:dyDescent="0.25">
      <c r="A42" s="12"/>
      <c r="B42" s="11" t="s">
        <v>3190</v>
      </c>
      <c r="C42" s="11" t="str">
        <f>IFERROR(VLOOKUP(B42,[1]customers!$A:$B,2,0),"")</f>
        <v/>
      </c>
      <c r="D42" s="11" t="s">
        <v>3191</v>
      </c>
      <c r="E42" s="11" t="str" cm="1">
        <f t="array" ref="E42">IF(Table15[[#This Row],[Scott Correction]]="",Table15[[#This Row],[customer_id]],_xlfn.XLOOKUP(Table15[[#This Row],[Scott Correction]],[1]!Table2[[#All],[name]],[1]!Table2[[#All],[id]],"",0,1))</f>
        <v/>
      </c>
      <c r="F42" s="11" t="s">
        <v>3353</v>
      </c>
      <c r="G42" s="11" t="s">
        <v>3354</v>
      </c>
      <c r="H42" s="11"/>
      <c r="I42" s="11"/>
      <c r="J42" s="11" t="s">
        <v>3355</v>
      </c>
      <c r="K42" s="11"/>
      <c r="L42" s="13"/>
    </row>
    <row r="43" spans="1:12" ht="18" customHeight="1" x14ac:dyDescent="0.25">
      <c r="A43" s="12"/>
      <c r="B43" s="11" t="s">
        <v>3190</v>
      </c>
      <c r="C43" s="11" t="str">
        <f>IFERROR(VLOOKUP(B43,[1]customers!$A:$B,2,0),"")</f>
        <v/>
      </c>
      <c r="D43" s="11" t="s">
        <v>3191</v>
      </c>
      <c r="E43" s="11" t="str" cm="1">
        <f t="array" ref="E43">IF(Table15[[#This Row],[Scott Correction]]="",Table15[[#This Row],[customer_id]],_xlfn.XLOOKUP(Table15[[#This Row],[Scott Correction]],[1]!Table2[[#All],[name]],[1]!Table2[[#All],[id]],"",0,1))</f>
        <v/>
      </c>
      <c r="F43" s="11" t="s">
        <v>3356</v>
      </c>
      <c r="G43" s="11" t="s">
        <v>3357</v>
      </c>
      <c r="H43" s="11"/>
      <c r="I43" s="11" t="s">
        <v>3358</v>
      </c>
      <c r="J43" s="11"/>
      <c r="K43" s="11" t="s">
        <v>3359</v>
      </c>
      <c r="L43" s="13"/>
    </row>
    <row r="44" spans="1:12" ht="18" customHeight="1" x14ac:dyDescent="0.25">
      <c r="A44" s="8"/>
      <c r="B44" s="9">
        <v>89</v>
      </c>
      <c r="C44" s="6" t="str">
        <f>IFERROR(VLOOKUP(B44,[1]customers!$A:$B,2,0),"")</f>
        <v>Bemis North America</v>
      </c>
      <c r="D44" s="6" t="s">
        <v>3191</v>
      </c>
      <c r="E44" s="6" t="str" cm="1">
        <f t="array" ref="E44">IF(Table15[[#This Row],[Scott Correction]]="",Table15[[#This Row],[customer_id]],_xlfn.XLOOKUP(Table15[[#This Row],[Scott Correction]],[1]!Table2[[#All],[name]],[1]!Table2[[#All],[id]],"",0,1))</f>
        <v/>
      </c>
      <c r="F44" s="9" t="s">
        <v>3360</v>
      </c>
      <c r="G44" s="9" t="s">
        <v>3361</v>
      </c>
      <c r="H44" s="9"/>
      <c r="I44" s="9" t="s">
        <v>3362</v>
      </c>
      <c r="J44" s="9"/>
      <c r="K44" s="9" t="s">
        <v>3363</v>
      </c>
      <c r="L44" s="10"/>
    </row>
    <row r="45" spans="1:12" ht="18" customHeight="1" x14ac:dyDescent="0.25">
      <c r="A45" s="12"/>
      <c r="B45" s="11" t="s">
        <v>3190</v>
      </c>
      <c r="C45" s="11" t="str">
        <f>IFERROR(VLOOKUP(B45,[1]customers!$A:$B,2,0),"")</f>
        <v/>
      </c>
      <c r="D45" s="11" t="s">
        <v>3191</v>
      </c>
      <c r="E45" s="11" t="str" cm="1">
        <f t="array" ref="E45">IF(Table15[[#This Row],[Scott Correction]]="",Table15[[#This Row],[customer_id]],_xlfn.XLOOKUP(Table15[[#This Row],[Scott Correction]],[1]!Table2[[#All],[name]],[1]!Table2[[#All],[id]],"",0,1))</f>
        <v/>
      </c>
      <c r="F45" s="11" t="s">
        <v>3364</v>
      </c>
      <c r="G45" s="11" t="s">
        <v>3365</v>
      </c>
      <c r="H45" s="11"/>
      <c r="I45" s="11" t="s">
        <v>3366</v>
      </c>
      <c r="J45" s="11"/>
      <c r="K45" s="11" t="s">
        <v>3367</v>
      </c>
      <c r="L45" s="13"/>
    </row>
    <row r="46" spans="1:12" ht="18" customHeight="1" x14ac:dyDescent="0.25">
      <c r="A46" s="12"/>
      <c r="B46" s="11" t="s">
        <v>3190</v>
      </c>
      <c r="C46" s="11" t="str">
        <f>IFERROR(VLOOKUP(B46,[1]customers!$A:$B,2,0),"")</f>
        <v/>
      </c>
      <c r="D46" s="11" t="s">
        <v>3191</v>
      </c>
      <c r="E46" s="11" t="str" cm="1">
        <f t="array" ref="E46">IF(Table15[[#This Row],[Scott Correction]]="",Table15[[#This Row],[customer_id]],_xlfn.XLOOKUP(Table15[[#This Row],[Scott Correction]],[1]!Table2[[#All],[name]],[1]!Table2[[#All],[id]],"",0,1))</f>
        <v/>
      </c>
      <c r="F46" s="11" t="s">
        <v>3368</v>
      </c>
      <c r="G46" s="11" t="s">
        <v>3369</v>
      </c>
      <c r="H46" s="11"/>
      <c r="I46" s="11" t="s">
        <v>3370</v>
      </c>
      <c r="J46" s="11" t="s">
        <v>3371</v>
      </c>
      <c r="K46" s="11" t="s">
        <v>3372</v>
      </c>
      <c r="L46" s="13"/>
    </row>
    <row r="47" spans="1:12" ht="18" customHeight="1" x14ac:dyDescent="0.25">
      <c r="A47" s="4"/>
      <c r="B47" s="5">
        <v>608</v>
      </c>
      <c r="C47" s="6" t="str">
        <f>IFERROR(VLOOKUP(B47,[1]customers!$A:$B,2,0),"")</f>
        <v>Screen Americas</v>
      </c>
      <c r="D47" s="6" t="s">
        <v>3191</v>
      </c>
      <c r="E47" s="6" t="str" cm="1">
        <f t="array" ref="E47">IF(Table15[[#This Row],[Scott Correction]]="",Table15[[#This Row],[customer_id]],_xlfn.XLOOKUP(Table15[[#This Row],[Scott Correction]],[1]!Table2[[#All],[name]],[1]!Table2[[#All],[id]],"",0,1))</f>
        <v/>
      </c>
      <c r="F47" s="5" t="s">
        <v>3373</v>
      </c>
      <c r="G47" s="5" t="s">
        <v>3374</v>
      </c>
      <c r="H47" s="5"/>
      <c r="I47" s="5" t="s">
        <v>3375</v>
      </c>
      <c r="J47" s="5"/>
      <c r="K47" s="5" t="s">
        <v>3376</v>
      </c>
      <c r="L47" s="7"/>
    </row>
    <row r="48" spans="1:12" ht="18" customHeight="1" x14ac:dyDescent="0.25">
      <c r="A48" s="12"/>
      <c r="B48" s="11" t="s">
        <v>3190</v>
      </c>
      <c r="C48" s="11" t="str">
        <f>IFERROR(VLOOKUP(B48,[1]customers!$A:$B,2,0),"")</f>
        <v/>
      </c>
      <c r="D48" s="11" t="s">
        <v>3191</v>
      </c>
      <c r="E48" s="11" t="str" cm="1">
        <f t="array" ref="E48">IF(Table15[[#This Row],[Scott Correction]]="",Table15[[#This Row],[customer_id]],_xlfn.XLOOKUP(Table15[[#This Row],[Scott Correction]],[1]!Table2[[#All],[name]],[1]!Table2[[#All],[id]],"",0,1))</f>
        <v/>
      </c>
      <c r="F48" s="11" t="s">
        <v>3377</v>
      </c>
      <c r="G48" s="11" t="s">
        <v>3378</v>
      </c>
      <c r="H48" s="11"/>
      <c r="I48" s="11" t="s">
        <v>3379</v>
      </c>
      <c r="J48" s="11" t="s">
        <v>3380</v>
      </c>
      <c r="K48" s="11" t="s">
        <v>3381</v>
      </c>
      <c r="L48" s="13"/>
    </row>
    <row r="49" spans="1:12" ht="18" customHeight="1" x14ac:dyDescent="0.25">
      <c r="A49" s="4"/>
      <c r="B49" s="5">
        <v>425</v>
      </c>
      <c r="C49" s="6" t="str">
        <f>IFERROR(VLOOKUP(B49,[1]customers!$A:$B,2,0),"")</f>
        <v>Mid American</v>
      </c>
      <c r="D49" s="6" t="s">
        <v>3191</v>
      </c>
      <c r="E49" s="6" t="str" cm="1">
        <f t="array" ref="E49">IF(Table15[[#This Row],[Scott Correction]]="",Table15[[#This Row],[customer_id]],_xlfn.XLOOKUP(Table15[[#This Row],[Scott Correction]],[1]!Table2[[#All],[name]],[1]!Table2[[#All],[id]],"",0,1))</f>
        <v/>
      </c>
      <c r="F49" s="5" t="s">
        <v>3382</v>
      </c>
      <c r="G49" s="5" t="s">
        <v>3383</v>
      </c>
      <c r="H49" s="5"/>
      <c r="I49" s="5" t="s">
        <v>3384</v>
      </c>
      <c r="J49" s="5"/>
      <c r="K49" s="5">
        <v>3308321511</v>
      </c>
      <c r="L49" s="7"/>
    </row>
    <row r="50" spans="1:12" ht="18" customHeight="1" x14ac:dyDescent="0.25">
      <c r="A50" s="12"/>
      <c r="B50" s="11" t="s">
        <v>3190</v>
      </c>
      <c r="C50" s="11" t="str">
        <f>IFERROR(VLOOKUP(B50,[1]customers!$A:$B,2,0),"")</f>
        <v/>
      </c>
      <c r="D50" s="11" t="s">
        <v>3191</v>
      </c>
      <c r="E50" s="11" t="str" cm="1">
        <f t="array" ref="E50">IF(Table15[[#This Row],[Scott Correction]]="",Table15[[#This Row],[customer_id]],_xlfn.XLOOKUP(Table15[[#This Row],[Scott Correction]],[1]!Table2[[#All],[name]],[1]!Table2[[#All],[id]],"",0,1))</f>
        <v/>
      </c>
      <c r="F50" s="11" t="s">
        <v>3385</v>
      </c>
      <c r="G50" s="11" t="s">
        <v>3386</v>
      </c>
      <c r="H50" s="11"/>
      <c r="I50" s="11" t="s">
        <v>3387</v>
      </c>
      <c r="J50" s="11" t="s">
        <v>3388</v>
      </c>
      <c r="K50" s="11" t="s">
        <v>3389</v>
      </c>
      <c r="L50" s="13"/>
    </row>
    <row r="51" spans="1:12" ht="18" customHeight="1" x14ac:dyDescent="0.25">
      <c r="A51" s="12"/>
      <c r="B51" s="11" t="s">
        <v>3190</v>
      </c>
      <c r="C51" s="11" t="str">
        <f>IFERROR(VLOOKUP(B51,[1]customers!$A:$B,2,0),"")</f>
        <v/>
      </c>
      <c r="D51" s="11" t="s">
        <v>3191</v>
      </c>
      <c r="E51" s="11" t="str" cm="1">
        <f t="array" ref="E51">IF(Table15[[#This Row],[Scott Correction]]="",Table15[[#This Row],[customer_id]],_xlfn.XLOOKUP(Table15[[#This Row],[Scott Correction]],[1]!Table2[[#All],[name]],[1]!Table2[[#All],[id]],"",0,1))</f>
        <v/>
      </c>
      <c r="F51" s="11" t="s">
        <v>3390</v>
      </c>
      <c r="G51" s="11" t="s">
        <v>3391</v>
      </c>
      <c r="H51" s="11"/>
      <c r="I51" s="11" t="s">
        <v>3392</v>
      </c>
      <c r="J51" s="11" t="s">
        <v>3393</v>
      </c>
      <c r="K51" s="11" t="s">
        <v>3394</v>
      </c>
      <c r="L51" s="13"/>
    </row>
    <row r="52" spans="1:12" ht="18" customHeight="1" x14ac:dyDescent="0.25">
      <c r="A52" s="12"/>
      <c r="B52" s="11" t="s">
        <v>3190</v>
      </c>
      <c r="C52" s="11" t="str">
        <f>IFERROR(VLOOKUP(B52,[1]customers!$A:$B,2,0),"")</f>
        <v/>
      </c>
      <c r="D52" s="11" t="s">
        <v>3191</v>
      </c>
      <c r="E52" s="11" t="str" cm="1">
        <f t="array" ref="E52">IF(Table15[[#This Row],[Scott Correction]]="",Table15[[#This Row],[customer_id]],_xlfn.XLOOKUP(Table15[[#This Row],[Scott Correction]],[1]!Table2[[#All],[name]],[1]!Table2[[#All],[id]],"",0,1))</f>
        <v/>
      </c>
      <c r="F52" s="11" t="s">
        <v>3395</v>
      </c>
      <c r="G52" s="11" t="s">
        <v>3396</v>
      </c>
      <c r="H52" s="11"/>
      <c r="I52" s="11" t="s">
        <v>3397</v>
      </c>
      <c r="J52" s="11" t="s">
        <v>3398</v>
      </c>
      <c r="K52" s="11"/>
      <c r="L52" s="13"/>
    </row>
    <row r="53" spans="1:12" ht="18" customHeight="1" x14ac:dyDescent="0.25">
      <c r="A53" s="12"/>
      <c r="B53" s="11" t="s">
        <v>3190</v>
      </c>
      <c r="C53" s="11" t="str">
        <f>IFERROR(VLOOKUP(B53,[1]customers!$A:$B,2,0),"")</f>
        <v/>
      </c>
      <c r="D53" s="11" t="s">
        <v>3191</v>
      </c>
      <c r="E53" s="11" t="str" cm="1">
        <f t="array" ref="E53">IF(Table15[[#This Row],[Scott Correction]]="",Table15[[#This Row],[customer_id]],_xlfn.XLOOKUP(Table15[[#This Row],[Scott Correction]],[1]!Table2[[#All],[name]],[1]!Table2[[#All],[id]],"",0,1))</f>
        <v/>
      </c>
      <c r="F53" s="11" t="s">
        <v>3399</v>
      </c>
      <c r="G53" s="11" t="s">
        <v>3400</v>
      </c>
      <c r="H53" s="11"/>
      <c r="I53" s="11" t="s">
        <v>3401</v>
      </c>
      <c r="J53" s="11"/>
      <c r="K53" s="11" t="s">
        <v>3402</v>
      </c>
      <c r="L53" s="13"/>
    </row>
    <row r="54" spans="1:12" ht="18" customHeight="1" x14ac:dyDescent="0.25">
      <c r="A54" s="12"/>
      <c r="B54" s="11" t="s">
        <v>3190</v>
      </c>
      <c r="C54" s="11" t="str">
        <f>IFERROR(VLOOKUP(B54,[1]customers!$A:$B,2,0),"")</f>
        <v/>
      </c>
      <c r="D54" s="11" t="s">
        <v>3191</v>
      </c>
      <c r="E54" s="11" t="str" cm="1">
        <f t="array" ref="E54">IF(Table15[[#This Row],[Scott Correction]]="",Table15[[#This Row],[customer_id]],_xlfn.XLOOKUP(Table15[[#This Row],[Scott Correction]],[1]!Table2[[#All],[name]],[1]!Table2[[#All],[id]],"",0,1))</f>
        <v/>
      </c>
      <c r="F54" s="11" t="s">
        <v>3403</v>
      </c>
      <c r="G54" s="11" t="s">
        <v>3404</v>
      </c>
      <c r="H54" s="11"/>
      <c r="I54" s="11" t="s">
        <v>3405</v>
      </c>
      <c r="J54" s="11" t="s">
        <v>3406</v>
      </c>
      <c r="K54" s="11"/>
      <c r="L54" s="13"/>
    </row>
    <row r="55" spans="1:12" ht="18" customHeight="1" x14ac:dyDescent="0.25">
      <c r="A55" s="8"/>
      <c r="B55" s="9">
        <v>208</v>
      </c>
      <c r="C55" s="6" t="str">
        <f>IFERROR(VLOOKUP(B55,[1]customers!$A:$B,2,0),"")</f>
        <v>Dutton Electric</v>
      </c>
      <c r="D55" s="6" t="s">
        <v>3191</v>
      </c>
      <c r="E55" s="6" t="str" cm="1">
        <f t="array" ref="E55">IF(Table15[[#This Row],[Scott Correction]]="",Table15[[#This Row],[customer_id]],_xlfn.XLOOKUP(Table15[[#This Row],[Scott Correction]],[1]!Table2[[#All],[name]],[1]!Table2[[#All],[id]],"",0,1))</f>
        <v/>
      </c>
      <c r="F55" s="9" t="s">
        <v>3407</v>
      </c>
      <c r="G55" s="9" t="s">
        <v>3408</v>
      </c>
      <c r="H55" s="9"/>
      <c r="I55" s="9" t="s">
        <v>3409</v>
      </c>
      <c r="J55" s="9" t="s">
        <v>3410</v>
      </c>
      <c r="K55" s="9"/>
      <c r="L55" s="10"/>
    </row>
    <row r="56" spans="1:12" ht="18" customHeight="1" x14ac:dyDescent="0.25">
      <c r="A56" s="12"/>
      <c r="B56" s="11" t="s">
        <v>3190</v>
      </c>
      <c r="C56" s="11" t="str">
        <f>IFERROR(VLOOKUP(B56,[1]customers!$A:$B,2,0),"")</f>
        <v/>
      </c>
      <c r="D56" s="11" t="s">
        <v>3191</v>
      </c>
      <c r="E56" s="11" t="str" cm="1">
        <f t="array" ref="E56">IF(Table15[[#This Row],[Scott Correction]]="",Table15[[#This Row],[customer_id]],_xlfn.XLOOKUP(Table15[[#This Row],[Scott Correction]],[1]!Table2[[#All],[name]],[1]!Table2[[#All],[id]],"",0,1))</f>
        <v/>
      </c>
      <c r="F56" s="11" t="s">
        <v>3411</v>
      </c>
      <c r="G56" s="11" t="s">
        <v>3412</v>
      </c>
      <c r="H56" s="11"/>
      <c r="I56" s="11" t="s">
        <v>3413</v>
      </c>
      <c r="J56" s="11" t="s">
        <v>3414</v>
      </c>
      <c r="K56" s="11" t="s">
        <v>3415</v>
      </c>
      <c r="L56" s="13"/>
    </row>
    <row r="57" spans="1:12" ht="18" customHeight="1" x14ac:dyDescent="0.25">
      <c r="A57" s="8"/>
      <c r="B57" s="9">
        <v>333</v>
      </c>
      <c r="C57" s="6" t="str">
        <f>IFERROR(VLOOKUP(B57,[1]customers!$A:$B,2,0),"")</f>
        <v>Inman Shipping</v>
      </c>
      <c r="D57" s="6" t="s">
        <v>3191</v>
      </c>
      <c r="E57" s="6" t="str" cm="1">
        <f t="array" ref="E57">IF(Table15[[#This Row],[Scott Correction]]="",Table15[[#This Row],[customer_id]],_xlfn.XLOOKUP(Table15[[#This Row],[Scott Correction]],[1]!Table2[[#All],[name]],[1]!Table2[[#All],[id]],"",0,1))</f>
        <v/>
      </c>
      <c r="F57" s="9" t="s">
        <v>3416</v>
      </c>
      <c r="G57" s="9" t="s">
        <v>3417</v>
      </c>
      <c r="H57" s="9"/>
      <c r="I57" s="9" t="s">
        <v>3418</v>
      </c>
      <c r="J57" s="9" t="s">
        <v>3419</v>
      </c>
      <c r="K57" s="9" t="s">
        <v>3420</v>
      </c>
      <c r="L57" s="10"/>
    </row>
    <row r="58" spans="1:12" ht="18" customHeight="1" x14ac:dyDescent="0.25">
      <c r="A58" s="12"/>
      <c r="B58" s="11" t="s">
        <v>3190</v>
      </c>
      <c r="C58" s="11" t="str">
        <f>IFERROR(VLOOKUP(B58,[1]customers!$A:$B,2,0),"")</f>
        <v/>
      </c>
      <c r="D58" s="11" t="s">
        <v>3191</v>
      </c>
      <c r="E58" s="11" t="str" cm="1">
        <f t="array" ref="E58">IF(Table15[[#This Row],[Scott Correction]]="",Table15[[#This Row],[customer_id]],_xlfn.XLOOKUP(Table15[[#This Row],[Scott Correction]],[1]!Table2[[#All],[name]],[1]!Table2[[#All],[id]],"",0,1))</f>
        <v/>
      </c>
      <c r="F58" s="11" t="s">
        <v>3421</v>
      </c>
      <c r="G58" s="11" t="s">
        <v>3422</v>
      </c>
      <c r="H58" s="11"/>
      <c r="I58" s="11" t="s">
        <v>3423</v>
      </c>
      <c r="J58" s="11"/>
      <c r="K58" s="11" t="s">
        <v>3424</v>
      </c>
      <c r="L58" s="13"/>
    </row>
    <row r="59" spans="1:12" ht="18" customHeight="1" x14ac:dyDescent="0.25">
      <c r="A59" s="12"/>
      <c r="B59" s="11" t="s">
        <v>3190</v>
      </c>
      <c r="C59" s="11" t="str">
        <f>IFERROR(VLOOKUP(B59,[1]customers!$A:$B,2,0),"")</f>
        <v/>
      </c>
      <c r="D59" s="11" t="s">
        <v>3191</v>
      </c>
      <c r="E59" s="11" t="str" cm="1">
        <f t="array" ref="E59">IF(Table15[[#This Row],[Scott Correction]]="",Table15[[#This Row],[customer_id]],_xlfn.XLOOKUP(Table15[[#This Row],[Scott Correction]],[1]!Table2[[#All],[name]],[1]!Table2[[#All],[id]],"",0,1))</f>
        <v/>
      </c>
      <c r="F59" s="11" t="s">
        <v>3425</v>
      </c>
      <c r="G59" s="11" t="s">
        <v>3426</v>
      </c>
      <c r="H59" s="11"/>
      <c r="I59" s="11" t="s">
        <v>3427</v>
      </c>
      <c r="J59" s="11" t="s">
        <v>3428</v>
      </c>
      <c r="K59" s="11" t="s">
        <v>3429</v>
      </c>
      <c r="L59" s="13"/>
    </row>
    <row r="60" spans="1:12" ht="18" customHeight="1" x14ac:dyDescent="0.25">
      <c r="A60" s="12"/>
      <c r="B60" s="11" t="s">
        <v>3190</v>
      </c>
      <c r="C60" s="11" t="str">
        <f>IFERROR(VLOOKUP(B60,[1]customers!$A:$B,2,0),"")</f>
        <v/>
      </c>
      <c r="D60" s="11" t="s">
        <v>3191</v>
      </c>
      <c r="E60" s="11" t="str" cm="1">
        <f t="array" ref="E60">IF(Table15[[#This Row],[Scott Correction]]="",Table15[[#This Row],[customer_id]],_xlfn.XLOOKUP(Table15[[#This Row],[Scott Correction]],[1]!Table2[[#All],[name]],[1]!Table2[[#All],[id]],"",0,1))</f>
        <v/>
      </c>
      <c r="F60" s="11" t="s">
        <v>3425</v>
      </c>
      <c r="G60" s="11" t="s">
        <v>3430</v>
      </c>
      <c r="H60" s="11"/>
      <c r="I60" s="11" t="s">
        <v>3431</v>
      </c>
      <c r="J60" s="11" t="s">
        <v>3432</v>
      </c>
      <c r="K60" s="11" t="s">
        <v>3433</v>
      </c>
      <c r="L60" s="13"/>
    </row>
    <row r="61" spans="1:12" ht="18" customHeight="1" x14ac:dyDescent="0.25">
      <c r="A61" s="12"/>
      <c r="B61" s="11" t="s">
        <v>3190</v>
      </c>
      <c r="C61" s="11" t="str">
        <f>IFERROR(VLOOKUP(B61,[1]customers!$A:$B,2,0),"")</f>
        <v/>
      </c>
      <c r="D61" s="11" t="s">
        <v>3191</v>
      </c>
      <c r="E61" s="11" t="str" cm="1">
        <f t="array" ref="E61">IF(Table15[[#This Row],[Scott Correction]]="",Table15[[#This Row],[customer_id]],_xlfn.XLOOKUP(Table15[[#This Row],[Scott Correction]],[1]!Table2[[#All],[name]],[1]!Table2[[#All],[id]],"",0,1))</f>
        <v/>
      </c>
      <c r="F61" s="11" t="s">
        <v>3434</v>
      </c>
      <c r="G61" s="11" t="s">
        <v>3435</v>
      </c>
      <c r="H61" s="11"/>
      <c r="I61" s="11" t="s">
        <v>3436</v>
      </c>
      <c r="J61" s="11"/>
      <c r="K61" s="11" t="s">
        <v>3437</v>
      </c>
      <c r="L61" s="13"/>
    </row>
    <row r="62" spans="1:12" ht="18" customHeight="1" x14ac:dyDescent="0.25">
      <c r="A62" s="12"/>
      <c r="B62" s="11" t="s">
        <v>3190</v>
      </c>
      <c r="C62" s="11" t="str">
        <f>IFERROR(VLOOKUP(B62,[1]customers!$A:$B,2,0),"")</f>
        <v/>
      </c>
      <c r="D62" s="11" t="s">
        <v>3191</v>
      </c>
      <c r="E62" s="11" t="str" cm="1">
        <f t="array" ref="E62">IF(Table15[[#This Row],[Scott Correction]]="",Table15[[#This Row],[customer_id]],_xlfn.XLOOKUP(Table15[[#This Row],[Scott Correction]],[1]!Table2[[#All],[name]],[1]!Table2[[#All],[id]],"",0,1))</f>
        <v/>
      </c>
      <c r="F62" s="11" t="s">
        <v>3438</v>
      </c>
      <c r="G62" s="11" t="s">
        <v>3439</v>
      </c>
      <c r="H62" s="11"/>
      <c r="I62" s="11" t="s">
        <v>3440</v>
      </c>
      <c r="J62" s="11" t="s">
        <v>3441</v>
      </c>
      <c r="K62" s="11" t="s">
        <v>3442</v>
      </c>
      <c r="L62" s="13"/>
    </row>
    <row r="63" spans="1:12" ht="18" customHeight="1" x14ac:dyDescent="0.25">
      <c r="A63" s="12"/>
      <c r="B63" s="11" t="s">
        <v>3190</v>
      </c>
      <c r="C63" s="11" t="str">
        <f>IFERROR(VLOOKUP(B63,[1]customers!$A:$B,2,0),"")</f>
        <v/>
      </c>
      <c r="D63" s="11" t="s">
        <v>3191</v>
      </c>
      <c r="E63" s="11" t="str" cm="1">
        <f t="array" ref="E63">IF(Table15[[#This Row],[Scott Correction]]="",Table15[[#This Row],[customer_id]],_xlfn.XLOOKUP(Table15[[#This Row],[Scott Correction]],[1]!Table2[[#All],[name]],[1]!Table2[[#All],[id]],"",0,1))</f>
        <v/>
      </c>
      <c r="F63" s="11" t="s">
        <v>3438</v>
      </c>
      <c r="G63" s="11" t="s">
        <v>3443</v>
      </c>
      <c r="H63" s="11"/>
      <c r="I63" s="11" t="s">
        <v>3444</v>
      </c>
      <c r="J63" s="11"/>
      <c r="K63" s="11" t="s">
        <v>3445</v>
      </c>
      <c r="L63" s="13"/>
    </row>
    <row r="64" spans="1:12" ht="18" customHeight="1" x14ac:dyDescent="0.25">
      <c r="A64" s="12"/>
      <c r="B64" s="11" t="s">
        <v>3190</v>
      </c>
      <c r="C64" s="11" t="str">
        <f>IFERROR(VLOOKUP(B64,[1]customers!$A:$B,2,0),"")</f>
        <v/>
      </c>
      <c r="D64" s="11" t="s">
        <v>3191</v>
      </c>
      <c r="E64" s="11" t="str" cm="1">
        <f t="array" ref="E64">IF(Table15[[#This Row],[Scott Correction]]="",Table15[[#This Row],[customer_id]],_xlfn.XLOOKUP(Table15[[#This Row],[Scott Correction]],[1]!Table2[[#All],[name]],[1]!Table2[[#All],[id]],"",0,1))</f>
        <v/>
      </c>
      <c r="F64" s="11" t="s">
        <v>3438</v>
      </c>
      <c r="G64" s="11" t="s">
        <v>3446</v>
      </c>
      <c r="H64" s="11"/>
      <c r="I64" s="11" t="s">
        <v>3447</v>
      </c>
      <c r="J64" s="11" t="s">
        <v>3448</v>
      </c>
      <c r="K64" s="11" t="s">
        <v>3449</v>
      </c>
      <c r="L64" s="13"/>
    </row>
    <row r="65" spans="1:12" ht="18" customHeight="1" x14ac:dyDescent="0.25">
      <c r="A65" s="12"/>
      <c r="B65" s="11" t="s">
        <v>3190</v>
      </c>
      <c r="C65" s="11" t="str">
        <f>IFERROR(VLOOKUP(B65,[1]customers!$A:$B,2,0),"")</f>
        <v/>
      </c>
      <c r="D65" s="11" t="s">
        <v>3191</v>
      </c>
      <c r="E65" s="11" t="str" cm="1">
        <f t="array" ref="E65">IF(Table15[[#This Row],[Scott Correction]]="",Table15[[#This Row],[customer_id]],_xlfn.XLOOKUP(Table15[[#This Row],[Scott Correction]],[1]!Table2[[#All],[name]],[1]!Table2[[#All],[id]],"",0,1))</f>
        <v/>
      </c>
      <c r="F65" s="11" t="s">
        <v>3438</v>
      </c>
      <c r="G65" s="11" t="s">
        <v>3450</v>
      </c>
      <c r="H65" s="11"/>
      <c r="I65" s="11" t="s">
        <v>3451</v>
      </c>
      <c r="J65" s="11" t="s">
        <v>3452</v>
      </c>
      <c r="K65" s="11"/>
      <c r="L65" s="13"/>
    </row>
    <row r="66" spans="1:12" ht="18" customHeight="1" x14ac:dyDescent="0.25">
      <c r="A66" s="12"/>
      <c r="B66" s="11" t="s">
        <v>3190</v>
      </c>
      <c r="C66" s="11" t="str">
        <f>IFERROR(VLOOKUP(B66,[1]customers!$A:$B,2,0),"")</f>
        <v/>
      </c>
      <c r="D66" s="11" t="s">
        <v>3191</v>
      </c>
      <c r="E66" s="11" t="str" cm="1">
        <f t="array" ref="E66">IF(Table15[[#This Row],[Scott Correction]]="",Table15[[#This Row],[customer_id]],_xlfn.XLOOKUP(Table15[[#This Row],[Scott Correction]],[1]!Table2[[#All],[name]],[1]!Table2[[#All],[id]],"",0,1))</f>
        <v/>
      </c>
      <c r="F66" s="11" t="s">
        <v>3453</v>
      </c>
      <c r="G66" s="11" t="s">
        <v>3454</v>
      </c>
      <c r="H66" s="11"/>
      <c r="I66" s="11" t="s">
        <v>3455</v>
      </c>
      <c r="J66" s="11" t="s">
        <v>3456</v>
      </c>
      <c r="K66" s="11" t="s">
        <v>3457</v>
      </c>
      <c r="L66" s="13"/>
    </row>
    <row r="67" spans="1:12" ht="18" customHeight="1" x14ac:dyDescent="0.25">
      <c r="A67" s="12"/>
      <c r="B67" s="11" t="s">
        <v>3190</v>
      </c>
      <c r="C67" s="11" t="str">
        <f>IFERROR(VLOOKUP(B67,[1]customers!$A:$B,2,0),"")</f>
        <v/>
      </c>
      <c r="D67" s="11" t="s">
        <v>3191</v>
      </c>
      <c r="E67" s="11" t="str" cm="1">
        <f t="array" ref="E67">IF(Table15[[#This Row],[Scott Correction]]="",Table15[[#This Row],[customer_id]],_xlfn.XLOOKUP(Table15[[#This Row],[Scott Correction]],[1]!Table2[[#All],[name]],[1]!Table2[[#All],[id]],"",0,1))</f>
        <v/>
      </c>
      <c r="F67" s="11" t="s">
        <v>3458</v>
      </c>
      <c r="G67" s="11" t="s">
        <v>3459</v>
      </c>
      <c r="H67" s="11"/>
      <c r="I67" s="11" t="s">
        <v>3460</v>
      </c>
      <c r="J67" s="11"/>
      <c r="K67" s="11" t="s">
        <v>3155</v>
      </c>
      <c r="L67" s="13"/>
    </row>
    <row r="68" spans="1:12" ht="18" customHeight="1" x14ac:dyDescent="0.25">
      <c r="A68" s="12"/>
      <c r="B68" s="11" t="s">
        <v>3190</v>
      </c>
      <c r="C68" s="11" t="str">
        <f>IFERROR(VLOOKUP(B68,[1]customers!$A:$B,2,0),"")</f>
        <v/>
      </c>
      <c r="D68" s="11" t="s">
        <v>3191</v>
      </c>
      <c r="E68" s="11" t="str" cm="1">
        <f t="array" ref="E68">IF(Table15[[#This Row],[Scott Correction]]="",Table15[[#This Row],[customer_id]],_xlfn.XLOOKUP(Table15[[#This Row],[Scott Correction]],[1]!Table2[[#All],[name]],[1]!Table2[[#All],[id]],"",0,1))</f>
        <v/>
      </c>
      <c r="F68" s="11" t="s">
        <v>3458</v>
      </c>
      <c r="G68" s="11" t="s">
        <v>3461</v>
      </c>
      <c r="H68" s="11"/>
      <c r="I68" s="11" t="s">
        <v>3462</v>
      </c>
      <c r="J68" s="11"/>
      <c r="K68" s="11" t="s">
        <v>3463</v>
      </c>
      <c r="L68" s="13"/>
    </row>
    <row r="69" spans="1:12" ht="18" customHeight="1" x14ac:dyDescent="0.25">
      <c r="A69" s="12"/>
      <c r="B69" s="11" t="s">
        <v>3190</v>
      </c>
      <c r="C69" s="11" t="str">
        <f>IFERROR(VLOOKUP(B69,[1]customers!$A:$B,2,0),"")</f>
        <v/>
      </c>
      <c r="D69" s="11" t="s">
        <v>3191</v>
      </c>
      <c r="E69" s="11" t="str" cm="1">
        <f t="array" ref="E69">IF(Table15[[#This Row],[Scott Correction]]="",Table15[[#This Row],[customer_id]],_xlfn.XLOOKUP(Table15[[#This Row],[Scott Correction]],[1]!Table2[[#All],[name]],[1]!Table2[[#All],[id]],"",0,1))</f>
        <v/>
      </c>
      <c r="F69" s="11" t="s">
        <v>3464</v>
      </c>
      <c r="G69" s="11" t="s">
        <v>1929</v>
      </c>
      <c r="H69" s="11"/>
      <c r="I69" s="11" t="s">
        <v>3465</v>
      </c>
      <c r="J69" s="11"/>
      <c r="K69" s="11" t="s">
        <v>3466</v>
      </c>
      <c r="L69" s="13"/>
    </row>
    <row r="70" spans="1:12" ht="18" customHeight="1" x14ac:dyDescent="0.25">
      <c r="A70" s="12"/>
      <c r="B70" s="11" t="s">
        <v>3190</v>
      </c>
      <c r="C70" s="11" t="str">
        <f>IFERROR(VLOOKUP(B70,[1]customers!$A:$B,2,0),"")</f>
        <v/>
      </c>
      <c r="D70" s="11" t="s">
        <v>3191</v>
      </c>
      <c r="E70" s="11" t="str" cm="1">
        <f t="array" ref="E70">IF(Table15[[#This Row],[Scott Correction]]="",Table15[[#This Row],[customer_id]],_xlfn.XLOOKUP(Table15[[#This Row],[Scott Correction]],[1]!Table2[[#All],[name]],[1]!Table2[[#All],[id]],"",0,1))</f>
        <v/>
      </c>
      <c r="F70" s="11" t="s">
        <v>3467</v>
      </c>
      <c r="G70" s="11" t="s">
        <v>3468</v>
      </c>
      <c r="H70" s="11"/>
      <c r="I70" s="11" t="s">
        <v>3469</v>
      </c>
      <c r="J70" s="11" t="s">
        <v>3470</v>
      </c>
      <c r="K70" s="11" t="s">
        <v>3471</v>
      </c>
      <c r="L70" s="13"/>
    </row>
    <row r="71" spans="1:12" ht="18" customHeight="1" x14ac:dyDescent="0.25">
      <c r="A71" s="12"/>
      <c r="B71" s="11" t="s">
        <v>3190</v>
      </c>
      <c r="C71" s="11" t="str">
        <f>IFERROR(VLOOKUP(B71,[1]customers!$A:$B,2,0),"")</f>
        <v/>
      </c>
      <c r="D71" s="11" t="s">
        <v>3191</v>
      </c>
      <c r="E71" s="11" t="str" cm="1">
        <f t="array" ref="E71">IF(Table15[[#This Row],[Scott Correction]]="",Table15[[#This Row],[customer_id]],_xlfn.XLOOKUP(Table15[[#This Row],[Scott Correction]],[1]!Table2[[#All],[name]],[1]!Table2[[#All],[id]],"",0,1))</f>
        <v/>
      </c>
      <c r="F71" s="11" t="s">
        <v>3472</v>
      </c>
      <c r="G71" s="11" t="s">
        <v>3473</v>
      </c>
      <c r="H71" s="11"/>
      <c r="I71" s="11" t="s">
        <v>3474</v>
      </c>
      <c r="J71" s="11" t="s">
        <v>3475</v>
      </c>
      <c r="K71" s="11" t="s">
        <v>3476</v>
      </c>
      <c r="L71" s="13"/>
    </row>
    <row r="72" spans="1:12" ht="18" customHeight="1" x14ac:dyDescent="0.25">
      <c r="A72" s="12"/>
      <c r="B72" s="11" t="s">
        <v>3190</v>
      </c>
      <c r="C72" s="11" t="str">
        <f>IFERROR(VLOOKUP(B72,[1]customers!$A:$B,2,0),"")</f>
        <v/>
      </c>
      <c r="D72" s="11" t="s">
        <v>3191</v>
      </c>
      <c r="E72" s="11" t="str" cm="1">
        <f t="array" ref="E72">IF(Table15[[#This Row],[Scott Correction]]="",Table15[[#This Row],[customer_id]],_xlfn.XLOOKUP(Table15[[#This Row],[Scott Correction]],[1]!Table2[[#All],[name]],[1]!Table2[[#All],[id]],"",0,1))</f>
        <v/>
      </c>
      <c r="F72" s="11" t="s">
        <v>3472</v>
      </c>
      <c r="G72" s="11" t="s">
        <v>3477</v>
      </c>
      <c r="H72" s="11"/>
      <c r="I72" s="11" t="s">
        <v>3478</v>
      </c>
      <c r="J72" s="11" t="s">
        <v>3479</v>
      </c>
      <c r="K72" s="11" t="s">
        <v>3480</v>
      </c>
      <c r="L72" s="13"/>
    </row>
    <row r="73" spans="1:12" ht="18" customHeight="1" x14ac:dyDescent="0.25">
      <c r="A73" s="12"/>
      <c r="B73" s="11" t="s">
        <v>3190</v>
      </c>
      <c r="C73" s="11" t="str">
        <f>IFERROR(VLOOKUP(B73,[1]customers!$A:$B,2,0),"")</f>
        <v/>
      </c>
      <c r="D73" s="11" t="s">
        <v>3191</v>
      </c>
      <c r="E73" s="11" t="str" cm="1">
        <f t="array" ref="E73">IF(Table15[[#This Row],[Scott Correction]]="",Table15[[#This Row],[customer_id]],_xlfn.XLOOKUP(Table15[[#This Row],[Scott Correction]],[1]!Table2[[#All],[name]],[1]!Table2[[#All],[id]],"",0,1))</f>
        <v/>
      </c>
      <c r="F73" s="11" t="s">
        <v>3481</v>
      </c>
      <c r="G73" s="11" t="s">
        <v>3482</v>
      </c>
      <c r="H73" s="11"/>
      <c r="I73" s="11"/>
      <c r="J73" s="11" t="s">
        <v>3483</v>
      </c>
      <c r="K73" s="11" t="s">
        <v>3484</v>
      </c>
      <c r="L73" s="13"/>
    </row>
    <row r="74" spans="1:12" ht="18" customHeight="1" x14ac:dyDescent="0.25">
      <c r="A74" s="12"/>
      <c r="B74" s="11" t="s">
        <v>3190</v>
      </c>
      <c r="C74" s="11" t="str">
        <f>IFERROR(VLOOKUP(B74,[1]customers!$A:$B,2,0),"")</f>
        <v/>
      </c>
      <c r="D74" s="11" t="s">
        <v>3191</v>
      </c>
      <c r="E74" s="11" t="str" cm="1">
        <f t="array" ref="E74">IF(Table15[[#This Row],[Scott Correction]]="",Table15[[#This Row],[customer_id]],_xlfn.XLOOKUP(Table15[[#This Row],[Scott Correction]],[1]!Table2[[#All],[name]],[1]!Table2[[#All],[id]],"",0,1))</f>
        <v/>
      </c>
      <c r="F74" s="11" t="s">
        <v>3485</v>
      </c>
      <c r="G74" s="11" t="s">
        <v>3486</v>
      </c>
      <c r="H74" s="11"/>
      <c r="I74" s="11"/>
      <c r="J74" s="11" t="s">
        <v>3487</v>
      </c>
      <c r="K74" s="11" t="s">
        <v>3488</v>
      </c>
      <c r="L74" s="13"/>
    </row>
    <row r="75" spans="1:12" ht="18" customHeight="1" x14ac:dyDescent="0.25">
      <c r="A75" s="12"/>
      <c r="B75" s="11" t="s">
        <v>3190</v>
      </c>
      <c r="C75" s="11" t="str">
        <f>IFERROR(VLOOKUP(B75,[1]customers!$A:$B,2,0),"")</f>
        <v/>
      </c>
      <c r="D75" s="11" t="s">
        <v>3191</v>
      </c>
      <c r="E75" s="11" t="str" cm="1">
        <f t="array" ref="E75">IF(Table15[[#This Row],[Scott Correction]]="",Table15[[#This Row],[customer_id]],_xlfn.XLOOKUP(Table15[[#This Row],[Scott Correction]],[1]!Table2[[#All],[name]],[1]!Table2[[#All],[id]],"",0,1))</f>
        <v/>
      </c>
      <c r="F75" s="11" t="s">
        <v>3489</v>
      </c>
      <c r="G75" s="11" t="s">
        <v>3490</v>
      </c>
      <c r="H75" s="11"/>
      <c r="I75" s="11" t="s">
        <v>3491</v>
      </c>
      <c r="J75" s="11" t="s">
        <v>3492</v>
      </c>
      <c r="K75" s="11" t="s">
        <v>3493</v>
      </c>
      <c r="L75" s="13"/>
    </row>
    <row r="76" spans="1:12" ht="18" customHeight="1" x14ac:dyDescent="0.25">
      <c r="A76" s="12"/>
      <c r="B76" s="11" t="s">
        <v>3190</v>
      </c>
      <c r="C76" s="11" t="str">
        <f>IFERROR(VLOOKUP(B76,[1]customers!$A:$B,2,0),"")</f>
        <v/>
      </c>
      <c r="D76" s="11" t="s">
        <v>3191</v>
      </c>
      <c r="E76" s="11" t="str" cm="1">
        <f t="array" ref="E76">IF(Table15[[#This Row],[Scott Correction]]="",Table15[[#This Row],[customer_id]],_xlfn.XLOOKUP(Table15[[#This Row],[Scott Correction]],[1]!Table2[[#All],[name]],[1]!Table2[[#All],[id]],"",0,1))</f>
        <v/>
      </c>
      <c r="F76" s="11" t="s">
        <v>3494</v>
      </c>
      <c r="G76" s="11" t="s">
        <v>3495</v>
      </c>
      <c r="H76" s="11"/>
      <c r="I76" s="11"/>
      <c r="J76" s="11"/>
      <c r="K76" s="11" t="s">
        <v>3496</v>
      </c>
      <c r="L76" s="13"/>
    </row>
    <row r="77" spans="1:12" ht="18" customHeight="1" x14ac:dyDescent="0.25">
      <c r="A77" s="12"/>
      <c r="B77" s="11" t="s">
        <v>3190</v>
      </c>
      <c r="C77" s="11" t="str">
        <f>IFERROR(VLOOKUP(B77,[1]customers!$A:$B,2,0),"")</f>
        <v/>
      </c>
      <c r="D77" s="11" t="s">
        <v>3191</v>
      </c>
      <c r="E77" s="11" t="str" cm="1">
        <f t="array" ref="E77">IF(Table15[[#This Row],[Scott Correction]]="",Table15[[#This Row],[customer_id]],_xlfn.XLOOKUP(Table15[[#This Row],[Scott Correction]],[1]!Table2[[#All],[name]],[1]!Table2[[#All],[id]],"",0,1))</f>
        <v/>
      </c>
      <c r="F77" s="11" t="s">
        <v>3497</v>
      </c>
      <c r="G77" s="11" t="s">
        <v>3498</v>
      </c>
      <c r="H77" s="11"/>
      <c r="I77" s="11" t="s">
        <v>3499</v>
      </c>
      <c r="J77" s="11" t="s">
        <v>3500</v>
      </c>
      <c r="K77" s="11" t="s">
        <v>3501</v>
      </c>
      <c r="L77" s="13"/>
    </row>
    <row r="78" spans="1:12" ht="18" customHeight="1" x14ac:dyDescent="0.25">
      <c r="A78" s="12"/>
      <c r="B78" s="11" t="s">
        <v>3190</v>
      </c>
      <c r="C78" s="11" t="str">
        <f>IFERROR(VLOOKUP(B78,[1]customers!$A:$B,2,0),"")</f>
        <v/>
      </c>
      <c r="D78" s="11" t="s">
        <v>3191</v>
      </c>
      <c r="E78" s="11" t="str" cm="1">
        <f t="array" ref="E78">IF(Table15[[#This Row],[Scott Correction]]="",Table15[[#This Row],[customer_id]],_xlfn.XLOOKUP(Table15[[#This Row],[Scott Correction]],[1]!Table2[[#All],[name]],[1]!Table2[[#All],[id]],"",0,1))</f>
        <v/>
      </c>
      <c r="F78" s="11" t="s">
        <v>3497</v>
      </c>
      <c r="G78" s="11" t="s">
        <v>3502</v>
      </c>
      <c r="H78" s="11"/>
      <c r="I78" s="11" t="s">
        <v>3503</v>
      </c>
      <c r="J78" s="11" t="s">
        <v>3504</v>
      </c>
      <c r="K78" s="11" t="s">
        <v>3505</v>
      </c>
      <c r="L78" s="13"/>
    </row>
    <row r="79" spans="1:12" ht="18" customHeight="1" x14ac:dyDescent="0.25">
      <c r="A79" s="12"/>
      <c r="B79" s="11" t="s">
        <v>3190</v>
      </c>
      <c r="C79" s="11" t="str">
        <f>IFERROR(VLOOKUP(B79,[1]customers!$A:$B,2,0),"")</f>
        <v/>
      </c>
      <c r="D79" s="11" t="s">
        <v>3191</v>
      </c>
      <c r="E79" s="11" t="str" cm="1">
        <f t="array" ref="E79">IF(Table15[[#This Row],[Scott Correction]]="",Table15[[#This Row],[customer_id]],_xlfn.XLOOKUP(Table15[[#This Row],[Scott Correction]],[1]!Table2[[#All],[name]],[1]!Table2[[#All],[id]],"",0,1))</f>
        <v/>
      </c>
      <c r="F79" s="11" t="s">
        <v>3497</v>
      </c>
      <c r="G79" s="11" t="s">
        <v>3506</v>
      </c>
      <c r="H79" s="11"/>
      <c r="I79" s="11" t="s">
        <v>3507</v>
      </c>
      <c r="J79" s="11" t="s">
        <v>3508</v>
      </c>
      <c r="K79" s="11" t="s">
        <v>3509</v>
      </c>
      <c r="L79" s="13"/>
    </row>
    <row r="80" spans="1:12" ht="18" customHeight="1" x14ac:dyDescent="0.25">
      <c r="A80" s="12"/>
      <c r="B80" s="11" t="s">
        <v>3190</v>
      </c>
      <c r="C80" s="11" t="str">
        <f>IFERROR(VLOOKUP(B80,[1]customers!$A:$B,2,0),"")</f>
        <v/>
      </c>
      <c r="D80" s="11" t="s">
        <v>3191</v>
      </c>
      <c r="E80" s="11" t="str" cm="1">
        <f t="array" ref="E80">IF(Table15[[#This Row],[Scott Correction]]="",Table15[[#This Row],[customer_id]],_xlfn.XLOOKUP(Table15[[#This Row],[Scott Correction]],[1]!Table2[[#All],[name]],[1]!Table2[[#All],[id]],"",0,1))</f>
        <v/>
      </c>
      <c r="F80" s="11" t="s">
        <v>3510</v>
      </c>
      <c r="G80" s="11" t="s">
        <v>3511</v>
      </c>
      <c r="H80" s="11"/>
      <c r="I80" s="11" t="s">
        <v>3512</v>
      </c>
      <c r="J80" s="11"/>
      <c r="K80" s="11">
        <v>3308969712</v>
      </c>
      <c r="L80" s="13"/>
    </row>
    <row r="81" spans="1:12" ht="18" customHeight="1" x14ac:dyDescent="0.25">
      <c r="A81" s="12"/>
      <c r="B81" s="11" t="s">
        <v>3190</v>
      </c>
      <c r="C81" s="11" t="str">
        <f>IFERROR(VLOOKUP(B81,[1]customers!$A:$B,2,0),"")</f>
        <v/>
      </c>
      <c r="D81" s="11" t="s">
        <v>3191</v>
      </c>
      <c r="E81" s="11" t="str" cm="1">
        <f t="array" ref="E81">IF(Table15[[#This Row],[Scott Correction]]="",Table15[[#This Row],[customer_id]],_xlfn.XLOOKUP(Table15[[#This Row],[Scott Correction]],[1]!Table2[[#All],[name]],[1]!Table2[[#All],[id]],"",0,1))</f>
        <v/>
      </c>
      <c r="F81" s="11" t="s">
        <v>3513</v>
      </c>
      <c r="G81" s="11" t="s">
        <v>3514</v>
      </c>
      <c r="H81" s="11"/>
      <c r="I81" s="11" t="s">
        <v>3515</v>
      </c>
      <c r="J81" s="11" t="s">
        <v>3516</v>
      </c>
      <c r="K81" s="11" t="s">
        <v>3517</v>
      </c>
      <c r="L81" s="13"/>
    </row>
    <row r="82" spans="1:12" ht="18" customHeight="1" x14ac:dyDescent="0.25">
      <c r="A82" s="12"/>
      <c r="B82" s="11" t="s">
        <v>3190</v>
      </c>
      <c r="C82" s="11" t="str">
        <f>IFERROR(VLOOKUP(B82,[1]customers!$A:$B,2,0),"")</f>
        <v/>
      </c>
      <c r="D82" s="11" t="s">
        <v>3191</v>
      </c>
      <c r="E82" s="11" t="str" cm="1">
        <f t="array" ref="E82">IF(Table15[[#This Row],[Scott Correction]]="",Table15[[#This Row],[customer_id]],_xlfn.XLOOKUP(Table15[[#This Row],[Scott Correction]],[1]!Table2[[#All],[name]],[1]!Table2[[#All],[id]],"",0,1))</f>
        <v/>
      </c>
      <c r="F82" s="11" t="s">
        <v>3518</v>
      </c>
      <c r="G82" s="11" t="s">
        <v>3519</v>
      </c>
      <c r="H82" s="11"/>
      <c r="I82" s="11"/>
      <c r="J82" s="11"/>
      <c r="K82" s="11" t="s">
        <v>3520</v>
      </c>
      <c r="L82" s="13"/>
    </row>
    <row r="83" spans="1:12" ht="18" customHeight="1" x14ac:dyDescent="0.25">
      <c r="A83" s="12"/>
      <c r="B83" s="11" t="s">
        <v>3190</v>
      </c>
      <c r="C83" s="11" t="str">
        <f>IFERROR(VLOOKUP(B83,[1]customers!$A:$B,2,0),"")</f>
        <v/>
      </c>
      <c r="D83" s="11" t="s">
        <v>3191</v>
      </c>
      <c r="E83" s="11" t="str" cm="1">
        <f t="array" ref="E83">IF(Table15[[#This Row],[Scott Correction]]="",Table15[[#This Row],[customer_id]],_xlfn.XLOOKUP(Table15[[#This Row],[Scott Correction]],[1]!Table2[[#All],[name]],[1]!Table2[[#All],[id]],"",0,1))</f>
        <v/>
      </c>
      <c r="F83" s="11" t="s">
        <v>3521</v>
      </c>
      <c r="G83" s="11" t="s">
        <v>3522</v>
      </c>
      <c r="H83" s="11"/>
      <c r="I83" s="11" t="s">
        <v>3523</v>
      </c>
      <c r="J83" s="11"/>
      <c r="K83" s="11" t="s">
        <v>835</v>
      </c>
      <c r="L83" s="13"/>
    </row>
    <row r="84" spans="1:12" ht="18" customHeight="1" x14ac:dyDescent="0.25">
      <c r="A84" s="12"/>
      <c r="B84" s="11" t="s">
        <v>3190</v>
      </c>
      <c r="C84" s="11" t="str">
        <f>IFERROR(VLOOKUP(B84,[1]customers!$A:$B,2,0),"")</f>
        <v/>
      </c>
      <c r="D84" s="11" t="s">
        <v>3191</v>
      </c>
      <c r="E84" s="11" t="str" cm="1">
        <f t="array" ref="E84">IF(Table15[[#This Row],[Scott Correction]]="",Table15[[#This Row],[customer_id]],_xlfn.XLOOKUP(Table15[[#This Row],[Scott Correction]],[1]!Table2[[#All],[name]],[1]!Table2[[#All],[id]],"",0,1))</f>
        <v/>
      </c>
      <c r="F84" s="11" t="s">
        <v>3524</v>
      </c>
      <c r="G84" s="11" t="s">
        <v>3525</v>
      </c>
      <c r="H84" s="11"/>
      <c r="I84" s="11" t="s">
        <v>3526</v>
      </c>
      <c r="J84" s="11"/>
      <c r="K84" s="11" t="s">
        <v>3527</v>
      </c>
      <c r="L84" s="13"/>
    </row>
    <row r="85" spans="1:12" ht="18" customHeight="1" x14ac:dyDescent="0.25">
      <c r="A85" s="8"/>
      <c r="B85" s="9">
        <v>92</v>
      </c>
      <c r="C85" s="6" t="str">
        <f>IFERROR(VLOOKUP(B85,[1]customers!$A:$B,2,0),"")</f>
        <v>Beverage Industries</v>
      </c>
      <c r="D85" s="6" t="s">
        <v>3191</v>
      </c>
      <c r="E85" s="6" t="str" cm="1">
        <f t="array" ref="E85">IF(Table15[[#This Row],[Scott Correction]]="",Table15[[#This Row],[customer_id]],_xlfn.XLOOKUP(Table15[[#This Row],[Scott Correction]],[1]!Table2[[#All],[name]],[1]!Table2[[#All],[id]],"",0,1))</f>
        <v/>
      </c>
      <c r="F85" s="9" t="s">
        <v>3528</v>
      </c>
      <c r="G85" s="9" t="s">
        <v>3529</v>
      </c>
      <c r="H85" s="9"/>
      <c r="I85" s="9"/>
      <c r="J85" s="9"/>
      <c r="K85" s="9" t="s">
        <v>3530</v>
      </c>
      <c r="L85" s="10"/>
    </row>
    <row r="86" spans="1:12" ht="18" customHeight="1" x14ac:dyDescent="0.25">
      <c r="A86" s="12"/>
      <c r="B86" s="11" t="s">
        <v>3190</v>
      </c>
      <c r="C86" s="11" t="str">
        <f>IFERROR(VLOOKUP(B86,[1]customers!$A:$B,2,0),"")</f>
        <v/>
      </c>
      <c r="D86" s="11" t="s">
        <v>3191</v>
      </c>
      <c r="E86" s="11" t="str" cm="1">
        <f t="array" ref="E86">IF(Table15[[#This Row],[Scott Correction]]="",Table15[[#This Row],[customer_id]],_xlfn.XLOOKUP(Table15[[#This Row],[Scott Correction]],[1]!Table2[[#All],[name]],[1]!Table2[[#All],[id]],"",0,1))</f>
        <v/>
      </c>
      <c r="F86" s="11" t="s">
        <v>3531</v>
      </c>
      <c r="G86" s="11" t="s">
        <v>3532</v>
      </c>
      <c r="H86" s="11"/>
      <c r="I86" s="11" t="s">
        <v>3533</v>
      </c>
      <c r="J86" s="11"/>
      <c r="K86" s="11" t="s">
        <v>3534</v>
      </c>
      <c r="L86" s="13"/>
    </row>
    <row r="87" spans="1:12" ht="18" customHeight="1" x14ac:dyDescent="0.25">
      <c r="A87" s="12"/>
      <c r="B87" s="11" t="s">
        <v>3190</v>
      </c>
      <c r="C87" s="11" t="str">
        <f>IFERROR(VLOOKUP(B87,[1]customers!$A:$B,2,0),"")</f>
        <v/>
      </c>
      <c r="D87" s="11" t="s">
        <v>3191</v>
      </c>
      <c r="E87" s="11" t="str" cm="1">
        <f t="array" ref="E87">IF(Table15[[#This Row],[Scott Correction]]="",Table15[[#This Row],[customer_id]],_xlfn.XLOOKUP(Table15[[#This Row],[Scott Correction]],[1]!Table2[[#All],[name]],[1]!Table2[[#All],[id]],"",0,1))</f>
        <v/>
      </c>
      <c r="F87" s="11" t="s">
        <v>3535</v>
      </c>
      <c r="G87" s="11" t="s">
        <v>3536</v>
      </c>
      <c r="H87" s="11"/>
      <c r="I87" s="11" t="s">
        <v>3537</v>
      </c>
      <c r="J87" s="11" t="s">
        <v>3538</v>
      </c>
      <c r="K87" s="11" t="s">
        <v>3539</v>
      </c>
      <c r="L87" s="13"/>
    </row>
    <row r="88" spans="1:12" ht="18" customHeight="1" x14ac:dyDescent="0.25">
      <c r="A88" s="4"/>
      <c r="B88" s="5">
        <v>226</v>
      </c>
      <c r="C88" s="6" t="str">
        <f>IFERROR(VLOOKUP(B88,[1]customers!$A:$B,2,0),"")</f>
        <v>Encore Plastics</v>
      </c>
      <c r="D88" s="6" t="s">
        <v>3191</v>
      </c>
      <c r="E88" s="6" t="str" cm="1">
        <f t="array" ref="E88">IF(Table15[[#This Row],[Scott Correction]]="",Table15[[#This Row],[customer_id]],_xlfn.XLOOKUP(Table15[[#This Row],[Scott Correction]],[1]!Table2[[#All],[name]],[1]!Table2[[#All],[id]],"",0,1))</f>
        <v/>
      </c>
      <c r="F88" s="5" t="s">
        <v>3540</v>
      </c>
      <c r="G88" s="5" t="s">
        <v>3541</v>
      </c>
      <c r="H88" s="5"/>
      <c r="I88" s="5" t="s">
        <v>834</v>
      </c>
      <c r="J88" s="5" t="s">
        <v>835</v>
      </c>
      <c r="K88" s="5" t="s">
        <v>3542</v>
      </c>
      <c r="L88" s="7"/>
    </row>
    <row r="89" spans="1:12" ht="18" customHeight="1" x14ac:dyDescent="0.25">
      <c r="A89" s="8"/>
      <c r="B89" s="9">
        <v>226</v>
      </c>
      <c r="C89" s="6" t="str">
        <f>IFERROR(VLOOKUP(B89,[1]customers!$A:$B,2,0),"")</f>
        <v>Encore Plastics</v>
      </c>
      <c r="D89" s="6" t="s">
        <v>3191</v>
      </c>
      <c r="E89" s="6" t="str" cm="1">
        <f t="array" ref="E89">IF(Table15[[#This Row],[Scott Correction]]="",Table15[[#This Row],[customer_id]],_xlfn.XLOOKUP(Table15[[#This Row],[Scott Correction]],[1]!Table2[[#All],[name]],[1]!Table2[[#All],[id]],"",0,1))</f>
        <v/>
      </c>
      <c r="F89" s="9" t="s">
        <v>3540</v>
      </c>
      <c r="G89" s="9" t="s">
        <v>3543</v>
      </c>
      <c r="H89" s="9"/>
      <c r="I89" s="9"/>
      <c r="J89" s="9"/>
      <c r="K89" s="9" t="s">
        <v>3544</v>
      </c>
      <c r="L89" s="10"/>
    </row>
    <row r="90" spans="1:12" ht="18" customHeight="1" x14ac:dyDescent="0.25">
      <c r="A90" s="4"/>
      <c r="B90" s="5">
        <v>196</v>
      </c>
      <c r="C90" s="6" t="str">
        <f>IFERROR(VLOOKUP(B90,[1]customers!$A:$B,2,0),"")</f>
        <v>DK Manufacturing</v>
      </c>
      <c r="D90" s="6" t="s">
        <v>3191</v>
      </c>
      <c r="E90" s="6" t="str" cm="1">
        <f t="array" ref="E90">IF(Table15[[#This Row],[Scott Correction]]="",Table15[[#This Row],[customer_id]],_xlfn.XLOOKUP(Table15[[#This Row],[Scott Correction]],[1]!Table2[[#All],[name]],[1]!Table2[[#All],[id]],"",0,1))</f>
        <v/>
      </c>
      <c r="F90" s="5" t="s">
        <v>3545</v>
      </c>
      <c r="G90" s="5" t="s">
        <v>3546</v>
      </c>
      <c r="H90" s="5"/>
      <c r="I90" s="5" t="s">
        <v>3547</v>
      </c>
      <c r="J90" s="5" t="s">
        <v>3548</v>
      </c>
      <c r="K90" s="5"/>
      <c r="L90" s="7"/>
    </row>
    <row r="91" spans="1:12" ht="18" customHeight="1" x14ac:dyDescent="0.25">
      <c r="A91" s="12"/>
      <c r="B91" s="11" t="s">
        <v>3190</v>
      </c>
      <c r="C91" s="11" t="str">
        <f>IFERROR(VLOOKUP(B91,[1]customers!$A:$B,2,0),"")</f>
        <v/>
      </c>
      <c r="D91" s="11" t="s">
        <v>3191</v>
      </c>
      <c r="E91" s="11" t="str" cm="1">
        <f t="array" ref="E91">IF(Table15[[#This Row],[Scott Correction]]="",Table15[[#This Row],[customer_id]],_xlfn.XLOOKUP(Table15[[#This Row],[Scott Correction]],[1]!Table2[[#All],[name]],[1]!Table2[[#All],[id]],"",0,1))</f>
        <v/>
      </c>
      <c r="F91" s="11" t="s">
        <v>3549</v>
      </c>
      <c r="G91" s="11" t="s">
        <v>3550</v>
      </c>
      <c r="H91" s="11"/>
      <c r="I91" s="11" t="s">
        <v>3551</v>
      </c>
      <c r="J91" s="11" t="s">
        <v>3552</v>
      </c>
      <c r="K91" s="11" t="s">
        <v>3553</v>
      </c>
      <c r="L91" s="13"/>
    </row>
    <row r="92" spans="1:12" ht="18" customHeight="1" x14ac:dyDescent="0.25">
      <c r="A92" s="12"/>
      <c r="B92" s="11" t="s">
        <v>3190</v>
      </c>
      <c r="C92" s="11" t="str">
        <f>IFERROR(VLOOKUP(B92,[1]customers!$A:$B,2,0),"")</f>
        <v/>
      </c>
      <c r="D92" s="11" t="s">
        <v>3191</v>
      </c>
      <c r="E92" s="11" t="str" cm="1">
        <f t="array" ref="E92">IF(Table15[[#This Row],[Scott Correction]]="",Table15[[#This Row],[customer_id]],_xlfn.XLOOKUP(Table15[[#This Row],[Scott Correction]],[1]!Table2[[#All],[name]],[1]!Table2[[#All],[id]],"",0,1))</f>
        <v/>
      </c>
      <c r="F92" s="11" t="s">
        <v>3554</v>
      </c>
      <c r="G92" s="11" t="s">
        <v>3555</v>
      </c>
      <c r="H92" s="11"/>
      <c r="I92" s="11" t="s">
        <v>3556</v>
      </c>
      <c r="J92" s="11" t="s">
        <v>3557</v>
      </c>
      <c r="K92" s="11" t="s">
        <v>3558</v>
      </c>
      <c r="L92" s="13"/>
    </row>
    <row r="93" spans="1:12" ht="18" customHeight="1" x14ac:dyDescent="0.25">
      <c r="A93" s="12"/>
      <c r="B93" s="11" t="s">
        <v>3190</v>
      </c>
      <c r="C93" s="11" t="str">
        <f>IFERROR(VLOOKUP(B93,[1]customers!$A:$B,2,0),"")</f>
        <v/>
      </c>
      <c r="D93" s="11" t="s">
        <v>3191</v>
      </c>
      <c r="E93" s="11" t="str" cm="1">
        <f t="array" ref="E93">IF(Table15[[#This Row],[Scott Correction]]="",Table15[[#This Row],[customer_id]],_xlfn.XLOOKUP(Table15[[#This Row],[Scott Correction]],[1]!Table2[[#All],[name]],[1]!Table2[[#All],[id]],"",0,1))</f>
        <v/>
      </c>
      <c r="F93" s="11" t="s">
        <v>3554</v>
      </c>
      <c r="G93" s="11" t="s">
        <v>3559</v>
      </c>
      <c r="H93" s="11"/>
      <c r="I93" s="11" t="s">
        <v>3560</v>
      </c>
      <c r="J93" s="11" t="s">
        <v>3561</v>
      </c>
      <c r="K93" s="11" t="s">
        <v>3562</v>
      </c>
      <c r="L93" s="13"/>
    </row>
    <row r="94" spans="1:12" ht="18" customHeight="1" x14ac:dyDescent="0.25">
      <c r="A94" s="12"/>
      <c r="B94" s="11" t="s">
        <v>3190</v>
      </c>
      <c r="C94" s="11" t="str">
        <f>IFERROR(VLOOKUP(B94,[1]customers!$A:$B,2,0),"")</f>
        <v/>
      </c>
      <c r="D94" s="11" t="s">
        <v>3191</v>
      </c>
      <c r="E94" s="11" t="str" cm="1">
        <f t="array" ref="E94">IF(Table15[[#This Row],[Scott Correction]]="",Table15[[#This Row],[customer_id]],_xlfn.XLOOKUP(Table15[[#This Row],[Scott Correction]],[1]!Table2[[#All],[name]],[1]!Table2[[#All],[id]],"",0,1))</f>
        <v/>
      </c>
      <c r="F94" s="11" t="s">
        <v>3563</v>
      </c>
      <c r="G94" s="11" t="s">
        <v>3564</v>
      </c>
      <c r="H94" s="11"/>
      <c r="I94" s="11"/>
      <c r="J94" s="11" t="s">
        <v>3565</v>
      </c>
      <c r="K94" s="11" t="s">
        <v>3566</v>
      </c>
      <c r="L94" s="13"/>
    </row>
    <row r="95" spans="1:12" ht="18" customHeight="1" x14ac:dyDescent="0.25">
      <c r="A95" s="12"/>
      <c r="B95" s="11" t="s">
        <v>3190</v>
      </c>
      <c r="C95" s="11" t="str">
        <f>IFERROR(VLOOKUP(B95,[1]customers!$A:$B,2,0),"")</f>
        <v/>
      </c>
      <c r="D95" s="11" t="s">
        <v>3191</v>
      </c>
      <c r="E95" s="11" t="str" cm="1">
        <f t="array" ref="E95">IF(Table15[[#This Row],[Scott Correction]]="",Table15[[#This Row],[customer_id]],_xlfn.XLOOKUP(Table15[[#This Row],[Scott Correction]],[1]!Table2[[#All],[name]],[1]!Table2[[#All],[id]],"",0,1))</f>
        <v/>
      </c>
      <c r="F95" s="11" t="s">
        <v>3567</v>
      </c>
      <c r="G95" s="11" t="s">
        <v>3568</v>
      </c>
      <c r="H95" s="11"/>
      <c r="I95" s="11" t="s">
        <v>3569</v>
      </c>
      <c r="J95" s="11" t="s">
        <v>3570</v>
      </c>
      <c r="K95" s="11" t="s">
        <v>3571</v>
      </c>
      <c r="L95" s="13"/>
    </row>
    <row r="96" spans="1:12" ht="18" customHeight="1" x14ac:dyDescent="0.25">
      <c r="A96" s="12"/>
      <c r="B96" s="11" t="s">
        <v>3190</v>
      </c>
      <c r="C96" s="11" t="str">
        <f>IFERROR(VLOOKUP(B96,[1]customers!$A:$B,2,0),"")</f>
        <v/>
      </c>
      <c r="D96" s="11" t="s">
        <v>3191</v>
      </c>
      <c r="E96" s="11" t="str" cm="1">
        <f t="array" ref="E96">IF(Table15[[#This Row],[Scott Correction]]="",Table15[[#This Row],[customer_id]],_xlfn.XLOOKUP(Table15[[#This Row],[Scott Correction]],[1]!Table2[[#All],[name]],[1]!Table2[[#All],[id]],"",0,1))</f>
        <v/>
      </c>
      <c r="F96" s="11" t="s">
        <v>3572</v>
      </c>
      <c r="G96" s="11" t="s">
        <v>3573</v>
      </c>
      <c r="H96" s="11"/>
      <c r="I96" s="11" t="s">
        <v>3574</v>
      </c>
      <c r="J96" s="11"/>
      <c r="K96" s="11" t="s">
        <v>3575</v>
      </c>
      <c r="L96" s="13"/>
    </row>
    <row r="97" spans="1:12" ht="18" customHeight="1" x14ac:dyDescent="0.25">
      <c r="A97" s="4"/>
      <c r="B97" s="5">
        <v>334</v>
      </c>
      <c r="C97" s="6" t="str">
        <f>IFERROR(VLOOKUP(B97,[1]customers!$A:$B,2,0),"")</f>
        <v>INMAR Solutions</v>
      </c>
      <c r="D97" s="6" t="s">
        <v>3191</v>
      </c>
      <c r="E97" s="6" t="str" cm="1">
        <f t="array" ref="E97">IF(Table15[[#This Row],[Scott Correction]]="",Table15[[#This Row],[customer_id]],_xlfn.XLOOKUP(Table15[[#This Row],[Scott Correction]],[1]!Table2[[#All],[name]],[1]!Table2[[#All],[id]],"",0,1))</f>
        <v/>
      </c>
      <c r="F97" s="5" t="s">
        <v>3576</v>
      </c>
      <c r="G97" s="5" t="s">
        <v>1113</v>
      </c>
      <c r="H97" s="5"/>
      <c r="I97" s="5" t="s">
        <v>3577</v>
      </c>
      <c r="J97" s="5"/>
      <c r="K97" s="5" t="s">
        <v>3578</v>
      </c>
      <c r="L97" s="7"/>
    </row>
    <row r="98" spans="1:12" ht="18" customHeight="1" x14ac:dyDescent="0.25">
      <c r="A98" s="4"/>
      <c r="B98" s="5">
        <v>196</v>
      </c>
      <c r="C98" s="6" t="str">
        <f>IFERROR(VLOOKUP(B98,[1]customers!$A:$B,2,0),"")</f>
        <v>DK Manufacturing</v>
      </c>
      <c r="D98" s="6" t="s">
        <v>3191</v>
      </c>
      <c r="E98" s="6" t="str" cm="1">
        <f t="array" ref="E98">IF(Table15[[#This Row],[Scott Correction]]="",Table15[[#This Row],[customer_id]],_xlfn.XLOOKUP(Table15[[#This Row],[Scott Correction]],[1]!Table2[[#All],[name]],[1]!Table2[[#All],[id]],"",0,1))</f>
        <v/>
      </c>
      <c r="F98" s="5" t="s">
        <v>3579</v>
      </c>
      <c r="G98" s="5" t="s">
        <v>3580</v>
      </c>
      <c r="H98" s="5"/>
      <c r="I98" s="5" t="s">
        <v>3581</v>
      </c>
      <c r="J98" s="5" t="s">
        <v>3582</v>
      </c>
      <c r="K98" s="5" t="s">
        <v>3583</v>
      </c>
      <c r="L98" s="7"/>
    </row>
    <row r="99" spans="1:12" ht="18" customHeight="1" x14ac:dyDescent="0.25">
      <c r="A99" s="12"/>
      <c r="B99" s="11" t="s">
        <v>3190</v>
      </c>
      <c r="C99" s="11" t="str">
        <f>IFERROR(VLOOKUP(B99,[1]customers!$A:$B,2,0),"")</f>
        <v/>
      </c>
      <c r="D99" s="11" t="s">
        <v>3191</v>
      </c>
      <c r="E99" s="11" t="str" cm="1">
        <f t="array" ref="E99">IF(Table15[[#This Row],[Scott Correction]]="",Table15[[#This Row],[customer_id]],_xlfn.XLOOKUP(Table15[[#This Row],[Scott Correction]],[1]!Table2[[#All],[name]],[1]!Table2[[#All],[id]],"",0,1))</f>
        <v/>
      </c>
      <c r="F99" s="11" t="s">
        <v>3584</v>
      </c>
      <c r="G99" s="11" t="s">
        <v>3585</v>
      </c>
      <c r="H99" s="11"/>
      <c r="I99" s="11" t="s">
        <v>3586</v>
      </c>
      <c r="J99" s="11" t="s">
        <v>3587</v>
      </c>
      <c r="K99" s="11" t="s">
        <v>3588</v>
      </c>
      <c r="L99" s="13"/>
    </row>
    <row r="100" spans="1:12" ht="18" customHeight="1" x14ac:dyDescent="0.25">
      <c r="A100" s="12"/>
      <c r="B100" s="11" t="s">
        <v>3190</v>
      </c>
      <c r="C100" s="11" t="str">
        <f>IFERROR(VLOOKUP(B100,[1]customers!$A:$B,2,0),"")</f>
        <v/>
      </c>
      <c r="D100" s="11" t="s">
        <v>3191</v>
      </c>
      <c r="E100" s="11" t="str" cm="1">
        <f t="array" ref="E100">IF(Table15[[#This Row],[Scott Correction]]="",Table15[[#This Row],[customer_id]],_xlfn.XLOOKUP(Table15[[#This Row],[Scott Correction]],[1]!Table2[[#All],[name]],[1]!Table2[[#All],[id]],"",0,1))</f>
        <v/>
      </c>
      <c r="F100" s="11" t="s">
        <v>3584</v>
      </c>
      <c r="G100" s="11" t="s">
        <v>3589</v>
      </c>
      <c r="H100" s="11"/>
      <c r="I100" s="11" t="s">
        <v>3590</v>
      </c>
      <c r="J100" s="11" t="s">
        <v>3591</v>
      </c>
      <c r="K100" s="11" t="s">
        <v>3592</v>
      </c>
      <c r="L100" s="13"/>
    </row>
    <row r="101" spans="1:12" ht="18" customHeight="1" x14ac:dyDescent="0.25">
      <c r="A101" s="12"/>
      <c r="B101" s="11" t="s">
        <v>3190</v>
      </c>
      <c r="C101" s="11" t="str">
        <f>IFERROR(VLOOKUP(B101,[1]customers!$A:$B,2,0),"")</f>
        <v/>
      </c>
      <c r="D101" s="11" t="s">
        <v>3191</v>
      </c>
      <c r="E101" s="11" t="str" cm="1">
        <f t="array" ref="E101">IF(Table15[[#This Row],[Scott Correction]]="",Table15[[#This Row],[customer_id]],_xlfn.XLOOKUP(Table15[[#This Row],[Scott Correction]],[1]!Table2[[#All],[name]],[1]!Table2[[#All],[id]],"",0,1))</f>
        <v/>
      </c>
      <c r="F101" s="11" t="s">
        <v>3593</v>
      </c>
      <c r="G101" s="11" t="s">
        <v>3594</v>
      </c>
      <c r="H101" s="11"/>
      <c r="I101" s="11"/>
      <c r="J101" s="11"/>
      <c r="K101" s="11" t="s">
        <v>3595</v>
      </c>
      <c r="L101" s="13"/>
    </row>
    <row r="102" spans="1:12" ht="18" customHeight="1" x14ac:dyDescent="0.25">
      <c r="A102" s="12"/>
      <c r="B102" s="11" t="s">
        <v>3190</v>
      </c>
      <c r="C102" s="11" t="str">
        <f>IFERROR(VLOOKUP(B102,[1]customers!$A:$B,2,0),"")</f>
        <v/>
      </c>
      <c r="D102" s="11" t="s">
        <v>3191</v>
      </c>
      <c r="E102" s="11" t="str" cm="1">
        <f t="array" ref="E102">IF(Table15[[#This Row],[Scott Correction]]="",Table15[[#This Row],[customer_id]],_xlfn.XLOOKUP(Table15[[#This Row],[Scott Correction]],[1]!Table2[[#All],[name]],[1]!Table2[[#All],[id]],"",0,1))</f>
        <v/>
      </c>
      <c r="F102" s="11" t="s">
        <v>3596</v>
      </c>
      <c r="G102" s="11" t="s">
        <v>3597</v>
      </c>
      <c r="H102" s="11"/>
      <c r="I102" s="11" t="s">
        <v>3598</v>
      </c>
      <c r="J102" s="11"/>
      <c r="K102" s="11">
        <v>6142374101</v>
      </c>
      <c r="L102" s="13"/>
    </row>
    <row r="103" spans="1:12" ht="18" customHeight="1" x14ac:dyDescent="0.25">
      <c r="A103" s="12"/>
      <c r="B103" s="11" t="s">
        <v>3190</v>
      </c>
      <c r="C103" s="11" t="str">
        <f>IFERROR(VLOOKUP(B103,[1]customers!$A:$B,2,0),"")</f>
        <v/>
      </c>
      <c r="D103" s="11" t="s">
        <v>3191</v>
      </c>
      <c r="E103" s="11" t="str" cm="1">
        <f t="array" ref="E103">IF(Table15[[#This Row],[Scott Correction]]="",Table15[[#This Row],[customer_id]],_xlfn.XLOOKUP(Table15[[#This Row],[Scott Correction]],[1]!Table2[[#All],[name]],[1]!Table2[[#All],[id]],"",0,1))</f>
        <v/>
      </c>
      <c r="F103" s="11" t="s">
        <v>3599</v>
      </c>
      <c r="G103" s="11" t="s">
        <v>3600</v>
      </c>
      <c r="H103" s="11"/>
      <c r="I103" s="11" t="s">
        <v>3601</v>
      </c>
      <c r="J103" s="11"/>
      <c r="K103" s="11">
        <v>7165124762</v>
      </c>
      <c r="L103" s="13"/>
    </row>
    <row r="104" spans="1:12" ht="18" customHeight="1" x14ac:dyDescent="0.25">
      <c r="A104" s="12"/>
      <c r="B104" s="11" t="s">
        <v>3190</v>
      </c>
      <c r="C104" s="11" t="str">
        <f>IFERROR(VLOOKUP(B104,[1]customers!$A:$B,2,0),"")</f>
        <v/>
      </c>
      <c r="D104" s="11" t="s">
        <v>3191</v>
      </c>
      <c r="E104" s="11" t="str" cm="1">
        <f t="array" ref="E104">IF(Table15[[#This Row],[Scott Correction]]="",Table15[[#This Row],[customer_id]],_xlfn.XLOOKUP(Table15[[#This Row],[Scott Correction]],[1]!Table2[[#All],[name]],[1]!Table2[[#All],[id]],"",0,1))</f>
        <v/>
      </c>
      <c r="F104" s="11" t="s">
        <v>3602</v>
      </c>
      <c r="G104" s="11" t="s">
        <v>3603</v>
      </c>
      <c r="H104" s="11"/>
      <c r="I104" s="11" t="s">
        <v>3604</v>
      </c>
      <c r="J104" s="11"/>
      <c r="K104" s="11" t="s">
        <v>3605</v>
      </c>
      <c r="L104" s="13"/>
    </row>
    <row r="105" spans="1:12" ht="18" customHeight="1" x14ac:dyDescent="0.25">
      <c r="A105" s="12"/>
      <c r="B105" s="11" t="s">
        <v>3190</v>
      </c>
      <c r="C105" s="11" t="str">
        <f>IFERROR(VLOOKUP(B105,[1]customers!$A:$B,2,0),"")</f>
        <v/>
      </c>
      <c r="D105" s="11" t="s">
        <v>3191</v>
      </c>
      <c r="E105" s="11" t="str" cm="1">
        <f t="array" ref="E105">IF(Table15[[#This Row],[Scott Correction]]="",Table15[[#This Row],[customer_id]],_xlfn.XLOOKUP(Table15[[#This Row],[Scott Correction]],[1]!Table2[[#All],[name]],[1]!Table2[[#All],[id]],"",0,1))</f>
        <v/>
      </c>
      <c r="F105" s="11" t="s">
        <v>3606</v>
      </c>
      <c r="G105" s="11" t="s">
        <v>3607</v>
      </c>
      <c r="H105" s="11"/>
      <c r="I105" s="11" t="s">
        <v>3608</v>
      </c>
      <c r="J105" s="11"/>
      <c r="K105" s="11" t="s">
        <v>3609</v>
      </c>
      <c r="L105" s="13"/>
    </row>
    <row r="106" spans="1:12" ht="18" customHeight="1" x14ac:dyDescent="0.25">
      <c r="A106" s="12"/>
      <c r="B106" s="11" t="s">
        <v>3190</v>
      </c>
      <c r="C106" s="11" t="str">
        <f>IFERROR(VLOOKUP(B106,[1]customers!$A:$B,2,0),"")</f>
        <v/>
      </c>
      <c r="D106" s="11" t="s">
        <v>3191</v>
      </c>
      <c r="E106" s="11" t="str" cm="1">
        <f t="array" ref="E106">IF(Table15[[#This Row],[Scott Correction]]="",Table15[[#This Row],[customer_id]],_xlfn.XLOOKUP(Table15[[#This Row],[Scott Correction]],[1]!Table2[[#All],[name]],[1]!Table2[[#All],[id]],"",0,1))</f>
        <v/>
      </c>
      <c r="F106" s="11" t="s">
        <v>3610</v>
      </c>
      <c r="G106" s="11" t="s">
        <v>3611</v>
      </c>
      <c r="H106" s="11"/>
      <c r="I106" s="11" t="s">
        <v>3612</v>
      </c>
      <c r="J106" s="11"/>
      <c r="K106" s="11" t="s">
        <v>3613</v>
      </c>
      <c r="L106" s="13"/>
    </row>
    <row r="107" spans="1:12" ht="18" customHeight="1" x14ac:dyDescent="0.25">
      <c r="A107" s="12"/>
      <c r="B107" s="11" t="s">
        <v>3190</v>
      </c>
      <c r="C107" s="11" t="str">
        <f>IFERROR(VLOOKUP(B107,[1]customers!$A:$B,2,0),"")</f>
        <v/>
      </c>
      <c r="D107" s="11" t="s">
        <v>3191</v>
      </c>
      <c r="E107" s="11" t="str" cm="1">
        <f t="array" ref="E107">IF(Table15[[#This Row],[Scott Correction]]="",Table15[[#This Row],[customer_id]],_xlfn.XLOOKUP(Table15[[#This Row],[Scott Correction]],[1]!Table2[[#All],[name]],[1]!Table2[[#All],[id]],"",0,1))</f>
        <v/>
      </c>
      <c r="F107" s="11" t="s">
        <v>3614</v>
      </c>
      <c r="G107" s="11" t="s">
        <v>3615</v>
      </c>
      <c r="H107" s="11"/>
      <c r="I107" s="11" t="s">
        <v>3616</v>
      </c>
      <c r="J107" s="11" t="s">
        <v>3617</v>
      </c>
      <c r="K107" s="11" t="s">
        <v>3618</v>
      </c>
      <c r="L107" s="13"/>
    </row>
    <row r="108" spans="1:12" ht="18" customHeight="1" x14ac:dyDescent="0.25">
      <c r="A108" s="4"/>
      <c r="B108" s="5">
        <v>509</v>
      </c>
      <c r="C108" s="6" t="str">
        <f>IFERROR(VLOOKUP(B108,[1]customers!$A:$B,2,0),"")</f>
        <v>Plastiwin Capital Equipment</v>
      </c>
      <c r="D108" s="6" t="s">
        <v>3191</v>
      </c>
      <c r="E108" s="6" t="str" cm="1">
        <f t="array" ref="E108">IF(Table15[[#This Row],[Scott Correction]]="",Table15[[#This Row],[customer_id]],_xlfn.XLOOKUP(Table15[[#This Row],[Scott Correction]],[1]!Table2[[#All],[name]],[1]!Table2[[#All],[id]],"",0,1))</f>
        <v/>
      </c>
      <c r="F108" s="5" t="s">
        <v>3619</v>
      </c>
      <c r="G108" s="5" t="s">
        <v>3620</v>
      </c>
      <c r="H108" s="5"/>
      <c r="I108" s="5"/>
      <c r="J108" s="5"/>
      <c r="K108" s="5" t="s">
        <v>3621</v>
      </c>
      <c r="L108" s="7"/>
    </row>
    <row r="109" spans="1:12" ht="18" customHeight="1" x14ac:dyDescent="0.25">
      <c r="A109" s="12"/>
      <c r="B109" s="11" t="s">
        <v>3190</v>
      </c>
      <c r="C109" s="11" t="str">
        <f>IFERROR(VLOOKUP(B109,[1]customers!$A:$B,2,0),"")</f>
        <v/>
      </c>
      <c r="D109" s="11" t="s">
        <v>3191</v>
      </c>
      <c r="E109" s="11" t="str" cm="1">
        <f t="array" ref="E109">IF(Table15[[#This Row],[Scott Correction]]="",Table15[[#This Row],[customer_id]],_xlfn.XLOOKUP(Table15[[#This Row],[Scott Correction]],[1]!Table2[[#All],[name]],[1]!Table2[[#All],[id]],"",0,1))</f>
        <v/>
      </c>
      <c r="F109" s="11" t="s">
        <v>3622</v>
      </c>
      <c r="G109" s="11" t="s">
        <v>3623</v>
      </c>
      <c r="H109" s="11"/>
      <c r="I109" s="11"/>
      <c r="J109" s="11"/>
      <c r="K109" s="11" t="s">
        <v>3624</v>
      </c>
      <c r="L109" s="13"/>
    </row>
    <row r="110" spans="1:12" ht="18" customHeight="1" x14ac:dyDescent="0.25">
      <c r="A110" s="4"/>
      <c r="B110" s="5">
        <v>354</v>
      </c>
      <c r="C110" s="6" t="str">
        <f>IFERROR(VLOOKUP(B110,[1]customers!$A:$B,2,0),"")</f>
        <v>JRC Technologies LLC Co</v>
      </c>
      <c r="D110" s="6" t="s">
        <v>3191</v>
      </c>
      <c r="E110" s="6" t="str" cm="1">
        <f t="array" ref="E110">IF(Table15[[#This Row],[Scott Correction]]="",Table15[[#This Row],[customer_id]],_xlfn.XLOOKUP(Table15[[#This Row],[Scott Correction]],[1]!Table2[[#All],[name]],[1]!Table2[[#All],[id]],"",0,1))</f>
        <v/>
      </c>
      <c r="F110" s="5" t="s">
        <v>3625</v>
      </c>
      <c r="G110" s="5" t="s">
        <v>3626</v>
      </c>
      <c r="H110" s="5"/>
      <c r="I110" s="5" t="s">
        <v>3627</v>
      </c>
      <c r="J110" s="5" t="s">
        <v>3628</v>
      </c>
      <c r="K110" s="5" t="s">
        <v>3629</v>
      </c>
      <c r="L110" s="7"/>
    </row>
    <row r="111" spans="1:12" ht="18" customHeight="1" x14ac:dyDescent="0.25">
      <c r="A111" s="8"/>
      <c r="B111" s="9">
        <v>81</v>
      </c>
      <c r="C111" s="6" t="str">
        <f>IFERROR(VLOOKUP(B111,[1]customers!$A:$B,2,0),"")</f>
        <v>Baking Enterprises</v>
      </c>
      <c r="D111" s="6" t="s">
        <v>3191</v>
      </c>
      <c r="E111" s="6" t="str" cm="1">
        <f t="array" ref="E111">IF(Table15[[#This Row],[Scott Correction]]="",Table15[[#This Row],[customer_id]],_xlfn.XLOOKUP(Table15[[#This Row],[Scott Correction]],[1]!Table2[[#All],[name]],[1]!Table2[[#All],[id]],"",0,1))</f>
        <v/>
      </c>
      <c r="F111" s="9" t="s">
        <v>3630</v>
      </c>
      <c r="G111" s="9" t="s">
        <v>3631</v>
      </c>
      <c r="H111" s="9"/>
      <c r="I111" s="9" t="s">
        <v>3632</v>
      </c>
      <c r="J111" s="9" t="s">
        <v>3633</v>
      </c>
      <c r="K111" s="9" t="s">
        <v>3634</v>
      </c>
      <c r="L111" s="10"/>
    </row>
    <row r="112" spans="1:12" ht="18" customHeight="1" x14ac:dyDescent="0.25">
      <c r="A112" s="12"/>
      <c r="B112" s="11" t="s">
        <v>3190</v>
      </c>
      <c r="C112" s="11" t="str">
        <f>IFERROR(VLOOKUP(B112,[1]customers!$A:$B,2,0),"")</f>
        <v/>
      </c>
      <c r="D112" s="11" t="s">
        <v>3191</v>
      </c>
      <c r="E112" s="11" t="str" cm="1">
        <f t="array" ref="E112">IF(Table15[[#This Row],[Scott Correction]]="",Table15[[#This Row],[customer_id]],_xlfn.XLOOKUP(Table15[[#This Row],[Scott Correction]],[1]!Table2[[#All],[name]],[1]!Table2[[#All],[id]],"",0,1))</f>
        <v/>
      </c>
      <c r="F112" s="11" t="s">
        <v>3635</v>
      </c>
      <c r="G112" s="11" t="s">
        <v>3636</v>
      </c>
      <c r="H112" s="11"/>
      <c r="I112" s="11" t="s">
        <v>3637</v>
      </c>
      <c r="J112" s="11"/>
      <c r="K112" s="11" t="s">
        <v>1501</v>
      </c>
      <c r="L112" s="13"/>
    </row>
    <row r="113" spans="1:12" ht="18" customHeight="1" x14ac:dyDescent="0.25">
      <c r="A113" s="4"/>
      <c r="B113" s="5">
        <v>60</v>
      </c>
      <c r="C113" s="6" t="str">
        <f>IFERROR(VLOOKUP(B113,[1]customers!$A:$B,2,0),"")</f>
        <v>Ariel Corporation</v>
      </c>
      <c r="D113" s="6" t="s">
        <v>3191</v>
      </c>
      <c r="E113" s="6" t="str" cm="1">
        <f t="array" ref="E113">IF(Table15[[#This Row],[Scott Correction]]="",Table15[[#This Row],[customer_id]],_xlfn.XLOOKUP(Table15[[#This Row],[Scott Correction]],[1]!Table2[[#All],[name]],[1]!Table2[[#All],[id]],"",0,1))</f>
        <v/>
      </c>
      <c r="F113" s="5" t="s">
        <v>3638</v>
      </c>
      <c r="G113" s="5" t="s">
        <v>3639</v>
      </c>
      <c r="H113" s="5"/>
      <c r="I113" s="5" t="s">
        <v>3640</v>
      </c>
      <c r="J113" s="5"/>
      <c r="K113" s="5" t="s">
        <v>3641</v>
      </c>
      <c r="L113" s="7"/>
    </row>
    <row r="114" spans="1:12" ht="18" customHeight="1" x14ac:dyDescent="0.25">
      <c r="A114" s="12"/>
      <c r="B114" s="11" t="s">
        <v>3190</v>
      </c>
      <c r="C114" s="11" t="str">
        <f>IFERROR(VLOOKUP(B114,[1]customers!$A:$B,2,0),"")</f>
        <v/>
      </c>
      <c r="D114" s="11" t="s">
        <v>3191</v>
      </c>
      <c r="E114" s="11" t="str" cm="1">
        <f t="array" ref="E114">IF(Table15[[#This Row],[Scott Correction]]="",Table15[[#This Row],[customer_id]],_xlfn.XLOOKUP(Table15[[#This Row],[Scott Correction]],[1]!Table2[[#All],[name]],[1]!Table2[[#All],[id]],"",0,1))</f>
        <v/>
      </c>
      <c r="F114" s="11" t="s">
        <v>3642</v>
      </c>
      <c r="G114" s="11" t="s">
        <v>3643</v>
      </c>
      <c r="H114" s="11"/>
      <c r="I114" s="11" t="s">
        <v>3644</v>
      </c>
      <c r="J114" s="11" t="s">
        <v>3645</v>
      </c>
      <c r="K114" s="11"/>
      <c r="L114" s="13"/>
    </row>
    <row r="115" spans="1:12" ht="18" customHeight="1" x14ac:dyDescent="0.25">
      <c r="A115" s="12"/>
      <c r="B115" s="11" t="s">
        <v>3190</v>
      </c>
      <c r="C115" s="11" t="str">
        <f>IFERROR(VLOOKUP(B115,[1]customers!$A:$B,2,0),"")</f>
        <v/>
      </c>
      <c r="D115" s="11" t="s">
        <v>3191</v>
      </c>
      <c r="E115" s="11" t="str" cm="1">
        <f t="array" ref="E115">IF(Table15[[#This Row],[Scott Correction]]="",Table15[[#This Row],[customer_id]],_xlfn.XLOOKUP(Table15[[#This Row],[Scott Correction]],[1]!Table2[[#All],[name]],[1]!Table2[[#All],[id]],"",0,1))</f>
        <v/>
      </c>
      <c r="F115" s="11" t="s">
        <v>3646</v>
      </c>
      <c r="G115" s="11" t="s">
        <v>3647</v>
      </c>
      <c r="H115" s="11"/>
      <c r="I115" s="11" t="s">
        <v>3648</v>
      </c>
      <c r="J115" s="11"/>
      <c r="K115" s="11"/>
      <c r="L115" s="13"/>
    </row>
    <row r="116" spans="1:12" ht="18" customHeight="1" x14ac:dyDescent="0.25">
      <c r="A116" s="12"/>
      <c r="B116" s="11" t="s">
        <v>3190</v>
      </c>
      <c r="C116" s="11" t="str">
        <f>IFERROR(VLOOKUP(B116,[1]customers!$A:$B,2,0),"")</f>
        <v/>
      </c>
      <c r="D116" s="11" t="s">
        <v>3191</v>
      </c>
      <c r="E116" s="11" t="str" cm="1">
        <f t="array" ref="E116">IF(Table15[[#This Row],[Scott Correction]]="",Table15[[#This Row],[customer_id]],_xlfn.XLOOKUP(Table15[[#This Row],[Scott Correction]],[1]!Table2[[#All],[name]],[1]!Table2[[#All],[id]],"",0,1))</f>
        <v/>
      </c>
      <c r="F116" s="11" t="s">
        <v>3649</v>
      </c>
      <c r="G116" s="11" t="s">
        <v>3650</v>
      </c>
      <c r="H116" s="11"/>
      <c r="I116" s="11" t="s">
        <v>3651</v>
      </c>
      <c r="J116" s="11" t="s">
        <v>3652</v>
      </c>
      <c r="K116" s="11" t="s">
        <v>3653</v>
      </c>
      <c r="L116" s="13"/>
    </row>
    <row r="117" spans="1:12" ht="18" customHeight="1" x14ac:dyDescent="0.25">
      <c r="A117" s="8"/>
      <c r="B117" s="9">
        <v>147</v>
      </c>
      <c r="C117" s="6" t="str">
        <f>IFERROR(VLOOKUP(B117,[1]customers!$A:$B,2,0),"")</f>
        <v>CLS Industrial</v>
      </c>
      <c r="D117" s="6" t="s">
        <v>3191</v>
      </c>
      <c r="E117" s="6" t="str" cm="1">
        <f t="array" ref="E117">IF(Table15[[#This Row],[Scott Correction]]="",Table15[[#This Row],[customer_id]],_xlfn.XLOOKUP(Table15[[#This Row],[Scott Correction]],[1]!Table2[[#All],[name]],[1]!Table2[[#All],[id]],"",0,1))</f>
        <v/>
      </c>
      <c r="F117" s="9" t="s">
        <v>3654</v>
      </c>
      <c r="G117" s="9" t="s">
        <v>3655</v>
      </c>
      <c r="H117" s="9"/>
      <c r="I117" s="9" t="s">
        <v>3656</v>
      </c>
      <c r="J117" s="9" t="s">
        <v>3657</v>
      </c>
      <c r="K117" s="9" t="s">
        <v>3658</v>
      </c>
      <c r="L117" s="10"/>
    </row>
    <row r="118" spans="1:12" ht="18" customHeight="1" x14ac:dyDescent="0.25">
      <c r="A118" s="4"/>
      <c r="B118" s="5">
        <v>147</v>
      </c>
      <c r="C118" s="6" t="str">
        <f>IFERROR(VLOOKUP(B118,[1]customers!$A:$B,2,0),"")</f>
        <v>CLS Industrial</v>
      </c>
      <c r="D118" s="6" t="s">
        <v>3191</v>
      </c>
      <c r="E118" s="6" t="str" cm="1">
        <f t="array" ref="E118">IF(Table15[[#This Row],[Scott Correction]]="",Table15[[#This Row],[customer_id]],_xlfn.XLOOKUP(Table15[[#This Row],[Scott Correction]],[1]!Table2[[#All],[name]],[1]!Table2[[#All],[id]],"",0,1))</f>
        <v/>
      </c>
      <c r="F118" s="5" t="s">
        <v>3654</v>
      </c>
      <c r="G118" s="5" t="s">
        <v>3659</v>
      </c>
      <c r="H118" s="5"/>
      <c r="I118" s="5" t="s">
        <v>3660</v>
      </c>
      <c r="J118" s="5" t="s">
        <v>3661</v>
      </c>
      <c r="K118" s="5" t="s">
        <v>3658</v>
      </c>
      <c r="L118" s="7"/>
    </row>
    <row r="119" spans="1:12" ht="18" customHeight="1" x14ac:dyDescent="0.25">
      <c r="A119" s="12"/>
      <c r="B119" s="11" t="s">
        <v>3190</v>
      </c>
      <c r="C119" s="11" t="str">
        <f>IFERROR(VLOOKUP(B119,[1]customers!$A:$B,2,0),"")</f>
        <v/>
      </c>
      <c r="D119" s="11" t="s">
        <v>3191</v>
      </c>
      <c r="E119" s="11" t="str" cm="1">
        <f t="array" ref="E119">IF(Table15[[#This Row],[Scott Correction]]="",Table15[[#This Row],[customer_id]],_xlfn.XLOOKUP(Table15[[#This Row],[Scott Correction]],[1]!Table2[[#All],[name]],[1]!Table2[[#All],[id]],"",0,1))</f>
        <v/>
      </c>
      <c r="F119" s="11" t="s">
        <v>3662</v>
      </c>
      <c r="G119" s="11" t="s">
        <v>3663</v>
      </c>
      <c r="H119" s="11"/>
      <c r="I119" s="11" t="s">
        <v>3664</v>
      </c>
      <c r="J119" s="11"/>
      <c r="K119" s="11" t="s">
        <v>3665</v>
      </c>
      <c r="L119" s="13"/>
    </row>
    <row r="120" spans="1:12" ht="18" customHeight="1" x14ac:dyDescent="0.25">
      <c r="A120" s="8"/>
      <c r="B120" s="9">
        <v>431</v>
      </c>
      <c r="C120" s="6" t="str">
        <f>IFERROR(VLOOKUP(B120,[1]customers!$A:$B,2,0),"")</f>
        <v>Mingo Manufacturing Inc</v>
      </c>
      <c r="D120" s="6" t="s">
        <v>3191</v>
      </c>
      <c r="E120" s="6" t="str" cm="1">
        <f t="array" ref="E120">IF(Table15[[#This Row],[Scott Correction]]="",Table15[[#This Row],[customer_id]],_xlfn.XLOOKUP(Table15[[#This Row],[Scott Correction]],[1]!Table2[[#All],[name]],[1]!Table2[[#All],[id]],"",0,1))</f>
        <v/>
      </c>
      <c r="F120" s="9" t="s">
        <v>3666</v>
      </c>
      <c r="G120" s="9" t="s">
        <v>3667</v>
      </c>
      <c r="H120" s="9"/>
      <c r="I120" s="9" t="s">
        <v>3668</v>
      </c>
      <c r="J120" s="9"/>
      <c r="K120" s="9" t="s">
        <v>3669</v>
      </c>
      <c r="L120" s="10"/>
    </row>
    <row r="121" spans="1:12" ht="18" customHeight="1" x14ac:dyDescent="0.25">
      <c r="A121" s="12"/>
      <c r="B121" s="11" t="s">
        <v>3190</v>
      </c>
      <c r="C121" s="11" t="str">
        <f>IFERROR(VLOOKUP(B121,[1]customers!$A:$B,2,0),"")</f>
        <v/>
      </c>
      <c r="D121" s="11" t="s">
        <v>3191</v>
      </c>
      <c r="E121" s="11" t="str" cm="1">
        <f t="array" ref="E121">IF(Table15[[#This Row],[Scott Correction]]="",Table15[[#This Row],[customer_id]],_xlfn.XLOOKUP(Table15[[#This Row],[Scott Correction]],[1]!Table2[[#All],[name]],[1]!Table2[[#All],[id]],"",0,1))</f>
        <v/>
      </c>
      <c r="F121" s="11" t="s">
        <v>3670</v>
      </c>
      <c r="G121" s="11" t="s">
        <v>3671</v>
      </c>
      <c r="H121" s="11"/>
      <c r="I121" s="11" t="s">
        <v>3672</v>
      </c>
      <c r="J121" s="11" t="s">
        <v>3673</v>
      </c>
      <c r="K121" s="11"/>
      <c r="L121" s="13"/>
    </row>
    <row r="122" spans="1:12" ht="18" customHeight="1" x14ac:dyDescent="0.25">
      <c r="A122" s="8"/>
      <c r="B122" s="9">
        <v>685</v>
      </c>
      <c r="C122" s="6" t="str">
        <f>IFERROR(VLOOKUP(B122,[1]customers!$A:$B,2,0),"")</f>
        <v>TPE Solutions, Inc</v>
      </c>
      <c r="D122" s="6" t="s">
        <v>3191</v>
      </c>
      <c r="E122" s="6" t="str" cm="1">
        <f t="array" ref="E122">IF(Table15[[#This Row],[Scott Correction]]="",Table15[[#This Row],[customer_id]],_xlfn.XLOOKUP(Table15[[#This Row],[Scott Correction]],[1]!Table2[[#All],[name]],[1]!Table2[[#All],[id]],"",0,1))</f>
        <v/>
      </c>
      <c r="F122" s="9" t="s">
        <v>3674</v>
      </c>
      <c r="G122" s="9" t="s">
        <v>3675</v>
      </c>
      <c r="H122" s="9"/>
      <c r="I122" s="9" t="s">
        <v>3676</v>
      </c>
      <c r="J122" s="9"/>
      <c r="K122" s="9" t="s">
        <v>3677</v>
      </c>
      <c r="L122" s="10"/>
    </row>
    <row r="123" spans="1:12" ht="18" customHeight="1" x14ac:dyDescent="0.25">
      <c r="A123" s="12"/>
      <c r="B123" s="11" t="s">
        <v>3190</v>
      </c>
      <c r="C123" s="11" t="str">
        <f>IFERROR(VLOOKUP(B123,[1]customers!$A:$B,2,0),"")</f>
        <v/>
      </c>
      <c r="D123" s="11" t="s">
        <v>3191</v>
      </c>
      <c r="E123" s="11" t="str" cm="1">
        <f t="array" ref="E123">IF(Table15[[#This Row],[Scott Correction]]="",Table15[[#This Row],[customer_id]],_xlfn.XLOOKUP(Table15[[#This Row],[Scott Correction]],[1]!Table2[[#All],[name]],[1]!Table2[[#All],[id]],"",0,1))</f>
        <v/>
      </c>
      <c r="F123" s="11" t="s">
        <v>3678</v>
      </c>
      <c r="G123" s="11" t="s">
        <v>3679</v>
      </c>
      <c r="H123" s="11"/>
      <c r="I123" s="11" t="s">
        <v>3680</v>
      </c>
      <c r="J123" s="11"/>
      <c r="K123" s="11" t="s">
        <v>3681</v>
      </c>
      <c r="L123" s="13"/>
    </row>
    <row r="124" spans="1:12" ht="18" customHeight="1" x14ac:dyDescent="0.25">
      <c r="A124" s="4"/>
      <c r="B124" s="5">
        <v>28</v>
      </c>
      <c r="C124" s="6" t="str">
        <f>IFERROR(VLOOKUP(B124,[1]customers!$A:$B,2,0),"")</f>
        <v>Alan Ross Machinery</v>
      </c>
      <c r="D124" s="6" t="s">
        <v>3191</v>
      </c>
      <c r="E124" s="6" t="str" cm="1">
        <f t="array" ref="E124">IF(Table15[[#This Row],[Scott Correction]]="",Table15[[#This Row],[customer_id]],_xlfn.XLOOKUP(Table15[[#This Row],[Scott Correction]],[1]!Table2[[#All],[name]],[1]!Table2[[#All],[id]],"",0,1))</f>
        <v/>
      </c>
      <c r="F124" s="5" t="s">
        <v>3682</v>
      </c>
      <c r="G124" s="5" t="s">
        <v>3683</v>
      </c>
      <c r="H124" s="5"/>
      <c r="I124" s="5" t="s">
        <v>3684</v>
      </c>
      <c r="J124" s="5"/>
      <c r="K124" s="5" t="s">
        <v>3685</v>
      </c>
      <c r="L124" s="7"/>
    </row>
    <row r="125" spans="1:12" ht="18" customHeight="1" x14ac:dyDescent="0.25">
      <c r="A125" s="4"/>
      <c r="B125" s="5">
        <v>28</v>
      </c>
      <c r="C125" s="6" t="str">
        <f>IFERROR(VLOOKUP(B125,[1]customers!$A:$B,2,0),"")</f>
        <v>Alan Ross Machinery</v>
      </c>
      <c r="D125" s="6" t="s">
        <v>3191</v>
      </c>
      <c r="E125" s="6" t="str" cm="1">
        <f t="array" ref="E125">IF(Table15[[#This Row],[Scott Correction]]="",Table15[[#This Row],[customer_id]],_xlfn.XLOOKUP(Table15[[#This Row],[Scott Correction]],[1]!Table2[[#All],[name]],[1]!Table2[[#All],[id]],"",0,1))</f>
        <v/>
      </c>
      <c r="F125" s="5" t="s">
        <v>3686</v>
      </c>
      <c r="G125" s="5" t="s">
        <v>3687</v>
      </c>
      <c r="H125" s="5"/>
      <c r="I125" s="5" t="s">
        <v>3688</v>
      </c>
      <c r="J125" s="5" t="s">
        <v>3689</v>
      </c>
      <c r="K125" s="5" t="s">
        <v>3690</v>
      </c>
      <c r="L125" s="7"/>
    </row>
    <row r="126" spans="1:12" ht="18" customHeight="1" x14ac:dyDescent="0.25">
      <c r="A126" s="12"/>
      <c r="B126" s="11" t="s">
        <v>3190</v>
      </c>
      <c r="C126" s="11" t="str">
        <f>IFERROR(VLOOKUP(B126,[1]customers!$A:$B,2,0),"")</f>
        <v/>
      </c>
      <c r="D126" s="11" t="s">
        <v>3191</v>
      </c>
      <c r="E126" s="11" t="str" cm="1">
        <f t="array" ref="E126">IF(Table15[[#This Row],[Scott Correction]]="",Table15[[#This Row],[customer_id]],_xlfn.XLOOKUP(Table15[[#This Row],[Scott Correction]],[1]!Table2[[#All],[name]],[1]!Table2[[#All],[id]],"",0,1))</f>
        <v/>
      </c>
      <c r="F126" s="11" t="s">
        <v>3691</v>
      </c>
      <c r="G126" s="11" t="s">
        <v>3692</v>
      </c>
      <c r="H126" s="11"/>
      <c r="I126" s="11" t="s">
        <v>3693</v>
      </c>
      <c r="J126" s="11" t="s">
        <v>3694</v>
      </c>
      <c r="K126" s="11" t="s">
        <v>3695</v>
      </c>
      <c r="L126" s="13"/>
    </row>
    <row r="127" spans="1:12" ht="18" customHeight="1" x14ac:dyDescent="0.25">
      <c r="A127" s="4"/>
      <c r="B127" s="5">
        <v>61</v>
      </c>
      <c r="C127" s="6" t="str">
        <f>IFERROR(VLOOKUP(B127,[1]customers!$A:$B,2,0),"")</f>
        <v>Arlington Machinery</v>
      </c>
      <c r="D127" s="6" t="s">
        <v>3191</v>
      </c>
      <c r="E127" s="6" t="str" cm="1">
        <f t="array" ref="E127">IF(Table15[[#This Row],[Scott Correction]]="",Table15[[#This Row],[customer_id]],_xlfn.XLOOKUP(Table15[[#This Row],[Scott Correction]],[1]!Table2[[#All],[name]],[1]!Table2[[#All],[id]],"",0,1))</f>
        <v/>
      </c>
      <c r="F127" s="5" t="s">
        <v>3696</v>
      </c>
      <c r="G127" s="5" t="s">
        <v>3697</v>
      </c>
      <c r="H127" s="5"/>
      <c r="I127" s="5" t="s">
        <v>3698</v>
      </c>
      <c r="J127" s="5"/>
      <c r="K127" s="5"/>
      <c r="L127" s="7"/>
    </row>
    <row r="128" spans="1:12" ht="18" customHeight="1" x14ac:dyDescent="0.25">
      <c r="A128" s="8"/>
      <c r="B128" s="9">
        <v>61</v>
      </c>
      <c r="C128" s="6" t="str">
        <f>IFERROR(VLOOKUP(B128,[1]customers!$A:$B,2,0),"")</f>
        <v>Arlington Machinery</v>
      </c>
      <c r="D128" s="6" t="s">
        <v>3191</v>
      </c>
      <c r="E128" s="6" t="str" cm="1">
        <f t="array" ref="E128">IF(Table15[[#This Row],[Scott Correction]]="",Table15[[#This Row],[customer_id]],_xlfn.XLOOKUP(Table15[[#This Row],[Scott Correction]],[1]!Table2[[#All],[name]],[1]!Table2[[#All],[id]],"",0,1))</f>
        <v/>
      </c>
      <c r="F128" s="9" t="s">
        <v>3696</v>
      </c>
      <c r="G128" s="9" t="s">
        <v>3697</v>
      </c>
      <c r="H128" s="9"/>
      <c r="I128" s="9" t="s">
        <v>3698</v>
      </c>
      <c r="J128" s="9"/>
      <c r="K128" s="9"/>
      <c r="L128" s="10"/>
    </row>
    <row r="129" spans="1:12" ht="18" customHeight="1" x14ac:dyDescent="0.25">
      <c r="A129" s="4"/>
      <c r="B129" s="5">
        <v>218</v>
      </c>
      <c r="C129" s="6" t="str">
        <f>IFERROR(VLOOKUP(B129,[1]customers!$A:$B,2,0),"")</f>
        <v>Electra Cord Inc</v>
      </c>
      <c r="D129" s="6" t="s">
        <v>3191</v>
      </c>
      <c r="E129" s="6" t="str" cm="1">
        <f t="array" ref="E129">IF(Table15[[#This Row],[Scott Correction]]="",Table15[[#This Row],[customer_id]],_xlfn.XLOOKUP(Table15[[#This Row],[Scott Correction]],[1]!Table2[[#All],[name]],[1]!Table2[[#All],[id]],"",0,1))</f>
        <v/>
      </c>
      <c r="F129" s="5" t="s">
        <v>3699</v>
      </c>
      <c r="G129" s="5" t="s">
        <v>3700</v>
      </c>
      <c r="H129" s="5"/>
      <c r="I129" s="5" t="s">
        <v>3701</v>
      </c>
      <c r="J129" s="5" t="s">
        <v>3702</v>
      </c>
      <c r="K129" s="5" t="s">
        <v>3703</v>
      </c>
      <c r="L129" s="7"/>
    </row>
    <row r="130" spans="1:12" ht="18" customHeight="1" x14ac:dyDescent="0.25">
      <c r="A130" s="12"/>
      <c r="B130" s="11" t="s">
        <v>3190</v>
      </c>
      <c r="C130" s="11" t="str">
        <f>IFERROR(VLOOKUP(B130,[1]customers!$A:$B,2,0),"")</f>
        <v/>
      </c>
      <c r="D130" s="11" t="s">
        <v>3191</v>
      </c>
      <c r="E130" s="11" t="str" cm="1">
        <f t="array" ref="E130">IF(Table15[[#This Row],[Scott Correction]]="",Table15[[#This Row],[customer_id]],_xlfn.XLOOKUP(Table15[[#This Row],[Scott Correction]],[1]!Table2[[#All],[name]],[1]!Table2[[#All],[id]],"",0,1))</f>
        <v/>
      </c>
      <c r="F130" s="11" t="s">
        <v>3704</v>
      </c>
      <c r="G130" s="11" t="s">
        <v>3705</v>
      </c>
      <c r="H130" s="11"/>
      <c r="I130" s="11" t="s">
        <v>3706</v>
      </c>
      <c r="J130" s="11"/>
      <c r="K130" s="11" t="s">
        <v>3707</v>
      </c>
      <c r="L130" s="13"/>
    </row>
    <row r="131" spans="1:12" ht="18" customHeight="1" x14ac:dyDescent="0.25">
      <c r="A131" s="4"/>
      <c r="B131" s="5">
        <v>570</v>
      </c>
      <c r="C131" s="6" t="str">
        <f>IFERROR(VLOOKUP(B131,[1]customers!$A:$B,2,0),"")</f>
        <v>RMS Transport</v>
      </c>
      <c r="D131" s="6" t="s">
        <v>3191</v>
      </c>
      <c r="E131" s="6" t="str" cm="1">
        <f t="array" ref="E131">IF(Table15[[#This Row],[Scott Correction]]="",Table15[[#This Row],[customer_id]],_xlfn.XLOOKUP(Table15[[#This Row],[Scott Correction]],[1]!Table2[[#All],[name]],[1]!Table2[[#All],[id]],"",0,1))</f>
        <v/>
      </c>
      <c r="F131" s="5" t="s">
        <v>3708</v>
      </c>
      <c r="G131" s="5" t="s">
        <v>3709</v>
      </c>
      <c r="H131" s="5"/>
      <c r="I131" s="5" t="s">
        <v>3710</v>
      </c>
      <c r="J131" s="5"/>
      <c r="K131" s="5">
        <v>4408566866</v>
      </c>
      <c r="L131" s="7"/>
    </row>
    <row r="132" spans="1:12" ht="18" customHeight="1" x14ac:dyDescent="0.25">
      <c r="A132" s="12"/>
      <c r="B132" s="11" t="s">
        <v>3190</v>
      </c>
      <c r="C132" s="11" t="str">
        <f>IFERROR(VLOOKUP(B132,[1]customers!$A:$B,2,0),"")</f>
        <v/>
      </c>
      <c r="D132" s="11" t="s">
        <v>3191</v>
      </c>
      <c r="E132" s="11" t="str" cm="1">
        <f t="array" ref="E132">IF(Table15[[#This Row],[Scott Correction]]="",Table15[[#This Row],[customer_id]],_xlfn.XLOOKUP(Table15[[#This Row],[Scott Correction]],[1]!Table2[[#All],[name]],[1]!Table2[[#All],[id]],"",0,1))</f>
        <v/>
      </c>
      <c r="F132" s="11" t="s">
        <v>3711</v>
      </c>
      <c r="G132" s="11" t="s">
        <v>3712</v>
      </c>
      <c r="H132" s="11"/>
      <c r="I132" s="11" t="s">
        <v>3713</v>
      </c>
      <c r="J132" s="11" t="s">
        <v>3714</v>
      </c>
      <c r="K132" s="11" t="s">
        <v>3715</v>
      </c>
      <c r="L132" s="13"/>
    </row>
    <row r="133" spans="1:12" ht="18" customHeight="1" x14ac:dyDescent="0.25">
      <c r="A133" s="12"/>
      <c r="B133" s="11" t="s">
        <v>3190</v>
      </c>
      <c r="C133" s="11" t="str">
        <f>IFERROR(VLOOKUP(B133,[1]customers!$A:$B,2,0),"")</f>
        <v/>
      </c>
      <c r="D133" s="11" t="s">
        <v>3191</v>
      </c>
      <c r="E133" s="11" t="str" cm="1">
        <f t="array" ref="E133">IF(Table15[[#This Row],[Scott Correction]]="",Table15[[#This Row],[customer_id]],_xlfn.XLOOKUP(Table15[[#This Row],[Scott Correction]],[1]!Table2[[#All],[name]],[1]!Table2[[#All],[id]],"",0,1))</f>
        <v/>
      </c>
      <c r="F133" s="11" t="s">
        <v>3716</v>
      </c>
      <c r="G133" s="11" t="s">
        <v>3717</v>
      </c>
      <c r="H133" s="11"/>
      <c r="I133" s="11"/>
      <c r="J133" s="11" t="s">
        <v>3718</v>
      </c>
      <c r="K133" s="11" t="s">
        <v>3719</v>
      </c>
      <c r="L133" s="13"/>
    </row>
    <row r="134" spans="1:12" ht="18" customHeight="1" x14ac:dyDescent="0.25">
      <c r="A134" s="12"/>
      <c r="B134" s="11" t="s">
        <v>3190</v>
      </c>
      <c r="C134" s="11" t="str">
        <f>IFERROR(VLOOKUP(B134,[1]customers!$A:$B,2,0),"")</f>
        <v/>
      </c>
      <c r="D134" s="11" t="s">
        <v>3191</v>
      </c>
      <c r="E134" s="11" t="str" cm="1">
        <f t="array" ref="E134">IF(Table15[[#This Row],[Scott Correction]]="",Table15[[#This Row],[customer_id]],_xlfn.XLOOKUP(Table15[[#This Row],[Scott Correction]],[1]!Table2[[#All],[name]],[1]!Table2[[#All],[id]],"",0,1))</f>
        <v/>
      </c>
      <c r="F134" s="11" t="s">
        <v>3716</v>
      </c>
      <c r="G134" s="11" t="s">
        <v>3720</v>
      </c>
      <c r="H134" s="11"/>
      <c r="I134" s="11" t="s">
        <v>3721</v>
      </c>
      <c r="J134" s="11" t="s">
        <v>3722</v>
      </c>
      <c r="K134" s="11"/>
      <c r="L134" s="13"/>
    </row>
    <row r="135" spans="1:12" ht="18" customHeight="1" x14ac:dyDescent="0.25">
      <c r="A135" s="12"/>
      <c r="B135" s="11" t="s">
        <v>3190</v>
      </c>
      <c r="C135" s="11" t="str">
        <f>IFERROR(VLOOKUP(B135,[1]customers!$A:$B,2,0),"")</f>
        <v/>
      </c>
      <c r="D135" s="11" t="s">
        <v>3191</v>
      </c>
      <c r="E135" s="11" t="str" cm="1">
        <f t="array" ref="E135">IF(Table15[[#This Row],[Scott Correction]]="",Table15[[#This Row],[customer_id]],_xlfn.XLOOKUP(Table15[[#This Row],[Scott Correction]],[1]!Table2[[#All],[name]],[1]!Table2[[#All],[id]],"",0,1))</f>
        <v/>
      </c>
      <c r="F135" s="11" t="s">
        <v>3723</v>
      </c>
      <c r="G135" s="11" t="s">
        <v>3724</v>
      </c>
      <c r="H135" s="11"/>
      <c r="I135" s="11" t="s">
        <v>3725</v>
      </c>
      <c r="J135" s="11"/>
      <c r="K135" s="11" t="s">
        <v>3726</v>
      </c>
      <c r="L135" s="13"/>
    </row>
    <row r="136" spans="1:12" ht="18" customHeight="1" x14ac:dyDescent="0.25">
      <c r="A136" s="12"/>
      <c r="B136" s="11" t="s">
        <v>3190</v>
      </c>
      <c r="C136" s="11" t="str">
        <f>IFERROR(VLOOKUP(B136,[1]customers!$A:$B,2,0),"")</f>
        <v/>
      </c>
      <c r="D136" s="11" t="s">
        <v>3191</v>
      </c>
      <c r="E136" s="11" t="str" cm="1">
        <f t="array" ref="E136">IF(Table15[[#This Row],[Scott Correction]]="",Table15[[#This Row],[customer_id]],_xlfn.XLOOKUP(Table15[[#This Row],[Scott Correction]],[1]!Table2[[#All],[name]],[1]!Table2[[#All],[id]],"",0,1))</f>
        <v/>
      </c>
      <c r="F136" s="11" t="s">
        <v>3727</v>
      </c>
      <c r="G136" s="11" t="s">
        <v>3728</v>
      </c>
      <c r="H136" s="11"/>
      <c r="I136" s="11" t="s">
        <v>3729</v>
      </c>
      <c r="J136" s="11" t="s">
        <v>3730</v>
      </c>
      <c r="K136" s="11"/>
      <c r="L136" s="13"/>
    </row>
    <row r="137" spans="1:12" ht="18" customHeight="1" x14ac:dyDescent="0.25">
      <c r="A137" s="12"/>
      <c r="B137" s="11" t="s">
        <v>3190</v>
      </c>
      <c r="C137" s="11" t="str">
        <f>IFERROR(VLOOKUP(B137,[1]customers!$A:$B,2,0),"")</f>
        <v/>
      </c>
      <c r="D137" s="11" t="s">
        <v>3191</v>
      </c>
      <c r="E137" s="11" t="str" cm="1">
        <f t="array" ref="E137">IF(Table15[[#This Row],[Scott Correction]]="",Table15[[#This Row],[customer_id]],_xlfn.XLOOKUP(Table15[[#This Row],[Scott Correction]],[1]!Table2[[#All],[name]],[1]!Table2[[#All],[id]],"",0,1))</f>
        <v/>
      </c>
      <c r="F137" s="11" t="s">
        <v>3731</v>
      </c>
      <c r="G137" s="11" t="s">
        <v>3732</v>
      </c>
      <c r="H137" s="11"/>
      <c r="I137" s="11" t="s">
        <v>3733</v>
      </c>
      <c r="J137" s="11"/>
      <c r="K137" s="11" t="s">
        <v>3734</v>
      </c>
      <c r="L137" s="13"/>
    </row>
    <row r="138" spans="1:12" ht="18" customHeight="1" x14ac:dyDescent="0.25">
      <c r="A138" s="4"/>
      <c r="B138" s="5">
        <v>156</v>
      </c>
      <c r="C138" s="6" t="str">
        <f>IFERROR(VLOOKUP(B138,[1]customers!$A:$B,2,0),"")</f>
        <v>Core Molding Technologies</v>
      </c>
      <c r="D138" s="6" t="s">
        <v>3191</v>
      </c>
      <c r="E138" s="6" t="str" cm="1">
        <f t="array" ref="E138">IF(Table15[[#This Row],[Scott Correction]]="",Table15[[#This Row],[customer_id]],_xlfn.XLOOKUP(Table15[[#This Row],[Scott Correction]],[1]!Table2[[#All],[name]],[1]!Table2[[#All],[id]],"",0,1))</f>
        <v/>
      </c>
      <c r="F138" s="5" t="s">
        <v>3735</v>
      </c>
      <c r="G138" s="5" t="s">
        <v>3736</v>
      </c>
      <c r="H138" s="5"/>
      <c r="I138" s="5" t="s">
        <v>3737</v>
      </c>
      <c r="J138" s="5" t="s">
        <v>3738</v>
      </c>
      <c r="K138" s="5"/>
      <c r="L138" s="7"/>
    </row>
    <row r="139" spans="1:12" ht="18" customHeight="1" x14ac:dyDescent="0.25">
      <c r="A139" s="12"/>
      <c r="B139" s="11" t="s">
        <v>3190</v>
      </c>
      <c r="C139" s="11" t="str">
        <f>IFERROR(VLOOKUP(B139,[1]customers!$A:$B,2,0),"")</f>
        <v/>
      </c>
      <c r="D139" s="11" t="s">
        <v>3191</v>
      </c>
      <c r="E139" s="11" t="str" cm="1">
        <f t="array" ref="E139">IF(Table15[[#This Row],[Scott Correction]]="",Table15[[#This Row],[customer_id]],_xlfn.XLOOKUP(Table15[[#This Row],[Scott Correction]],[1]!Table2[[#All],[name]],[1]!Table2[[#All],[id]],"",0,1))</f>
        <v/>
      </c>
      <c r="F139" s="11" t="s">
        <v>3739</v>
      </c>
      <c r="G139" s="11" t="s">
        <v>3740</v>
      </c>
      <c r="H139" s="11"/>
      <c r="I139" s="11" t="s">
        <v>3741</v>
      </c>
      <c r="J139" s="11" t="s">
        <v>3742</v>
      </c>
      <c r="K139" s="11"/>
      <c r="L139" s="13"/>
    </row>
    <row r="140" spans="1:12" ht="18" customHeight="1" x14ac:dyDescent="0.25">
      <c r="A140" s="4"/>
      <c r="B140" s="5">
        <v>27</v>
      </c>
      <c r="C140" s="6" t="str">
        <f>IFERROR(VLOOKUP(B140,[1]customers!$A:$B,2,0),"")</f>
        <v>Akron Tool &amp; Die</v>
      </c>
      <c r="D140" s="6" t="s">
        <v>3191</v>
      </c>
      <c r="E140" s="6" t="str" cm="1">
        <f t="array" ref="E140">IF(Table15[[#This Row],[Scott Correction]]="",Table15[[#This Row],[customer_id]],_xlfn.XLOOKUP(Table15[[#This Row],[Scott Correction]],[1]!Table2[[#All],[name]],[1]!Table2[[#All],[id]],"",0,1))</f>
        <v/>
      </c>
      <c r="F140" s="5" t="s">
        <v>3743</v>
      </c>
      <c r="G140" s="5" t="s">
        <v>3744</v>
      </c>
      <c r="H140" s="5"/>
      <c r="I140" s="5" t="s">
        <v>3745</v>
      </c>
      <c r="J140" s="5">
        <v>3306331414</v>
      </c>
      <c r="K140" s="5"/>
      <c r="L140" s="7"/>
    </row>
    <row r="141" spans="1:12" ht="18" customHeight="1" x14ac:dyDescent="0.25">
      <c r="A141" s="12"/>
      <c r="B141" s="11" t="s">
        <v>3190</v>
      </c>
      <c r="C141" s="11" t="str">
        <f>IFERROR(VLOOKUP(B141,[1]customers!$A:$B,2,0),"")</f>
        <v/>
      </c>
      <c r="D141" s="11" t="s">
        <v>3191</v>
      </c>
      <c r="E141" s="11" t="str" cm="1">
        <f t="array" ref="E141">IF(Table15[[#This Row],[Scott Correction]]="",Table15[[#This Row],[customer_id]],_xlfn.XLOOKUP(Table15[[#This Row],[Scott Correction]],[1]!Table2[[#All],[name]],[1]!Table2[[#All],[id]],"",0,1))</f>
        <v/>
      </c>
      <c r="F141" s="11" t="s">
        <v>3746</v>
      </c>
      <c r="G141" s="11" t="s">
        <v>3747</v>
      </c>
      <c r="H141" s="11"/>
      <c r="I141" s="11" t="s">
        <v>3748</v>
      </c>
      <c r="J141" s="11"/>
      <c r="K141" s="11" t="s">
        <v>3749</v>
      </c>
      <c r="L141" s="13"/>
    </row>
    <row r="142" spans="1:12" ht="18" customHeight="1" x14ac:dyDescent="0.25">
      <c r="A142" s="8"/>
      <c r="B142" s="9">
        <v>482</v>
      </c>
      <c r="C142" s="6" t="str">
        <f>IFERROR(VLOOKUP(B142,[1]customers!$A:$B,2,0),"")</f>
        <v>Orbis Corporation</v>
      </c>
      <c r="D142" s="6" t="s">
        <v>3191</v>
      </c>
      <c r="E142" s="6" t="str" cm="1">
        <f t="array" ref="E142">IF(Table15[[#This Row],[Scott Correction]]="",Table15[[#This Row],[customer_id]],_xlfn.XLOOKUP(Table15[[#This Row],[Scott Correction]],[1]!Table2[[#All],[name]],[1]!Table2[[#All],[id]],"",0,1))</f>
        <v/>
      </c>
      <c r="F142" s="9" t="s">
        <v>3750</v>
      </c>
      <c r="G142" s="9" t="s">
        <v>3751</v>
      </c>
      <c r="H142" s="9"/>
      <c r="I142" s="9" t="s">
        <v>3752</v>
      </c>
      <c r="J142" s="9"/>
      <c r="K142" s="9"/>
      <c r="L142" s="10"/>
    </row>
    <row r="143" spans="1:12" ht="18" customHeight="1" x14ac:dyDescent="0.25">
      <c r="A143" s="12"/>
      <c r="B143" s="11" t="s">
        <v>3190</v>
      </c>
      <c r="C143" s="11" t="str">
        <f>IFERROR(VLOOKUP(B143,[1]customers!$A:$B,2,0),"")</f>
        <v/>
      </c>
      <c r="D143" s="11" t="s">
        <v>3191</v>
      </c>
      <c r="E143" s="11" t="str" cm="1">
        <f t="array" ref="E143">IF(Table15[[#This Row],[Scott Correction]]="",Table15[[#This Row],[customer_id]],_xlfn.XLOOKUP(Table15[[#This Row],[Scott Correction]],[1]!Table2[[#All],[name]],[1]!Table2[[#All],[id]],"",0,1))</f>
        <v/>
      </c>
      <c r="F143" s="11" t="s">
        <v>3753</v>
      </c>
      <c r="G143" s="11" t="s">
        <v>3754</v>
      </c>
      <c r="H143" s="11"/>
      <c r="I143" s="11" t="s">
        <v>3755</v>
      </c>
      <c r="J143" s="11" t="s">
        <v>3756</v>
      </c>
      <c r="K143" s="11" t="s">
        <v>3757</v>
      </c>
      <c r="L143" s="13"/>
    </row>
    <row r="144" spans="1:12" ht="18" customHeight="1" x14ac:dyDescent="0.25">
      <c r="A144" s="12"/>
      <c r="B144" s="11" t="s">
        <v>3190</v>
      </c>
      <c r="C144" s="11" t="str">
        <f>IFERROR(VLOOKUP(B144,[1]customers!$A:$B,2,0),"")</f>
        <v/>
      </c>
      <c r="D144" s="11" t="s">
        <v>3191</v>
      </c>
      <c r="E144" s="11" t="str" cm="1">
        <f t="array" ref="E144">IF(Table15[[#This Row],[Scott Correction]]="",Table15[[#This Row],[customer_id]],_xlfn.XLOOKUP(Table15[[#This Row],[Scott Correction]],[1]!Table2[[#All],[name]],[1]!Table2[[#All],[id]],"",0,1))</f>
        <v/>
      </c>
      <c r="F144" s="11" t="s">
        <v>3758</v>
      </c>
      <c r="G144" s="11" t="s">
        <v>3759</v>
      </c>
      <c r="H144" s="11"/>
      <c r="I144" s="11" t="s">
        <v>3760</v>
      </c>
      <c r="J144" s="11" t="s">
        <v>3761</v>
      </c>
      <c r="K144" s="11"/>
      <c r="L144" s="13"/>
    </row>
    <row r="145" spans="1:12" ht="18" customHeight="1" x14ac:dyDescent="0.25">
      <c r="A145" s="12"/>
      <c r="B145" s="11" t="s">
        <v>3190</v>
      </c>
      <c r="C145" s="11" t="str">
        <f>IFERROR(VLOOKUP(B145,[1]customers!$A:$B,2,0),"")</f>
        <v/>
      </c>
      <c r="D145" s="11" t="s">
        <v>3191</v>
      </c>
      <c r="E145" s="11" t="str" cm="1">
        <f t="array" ref="E145">IF(Table15[[#This Row],[Scott Correction]]="",Table15[[#This Row],[customer_id]],_xlfn.XLOOKUP(Table15[[#This Row],[Scott Correction]],[1]!Table2[[#All],[name]],[1]!Table2[[#All],[id]],"",0,1))</f>
        <v/>
      </c>
      <c r="F145" s="11" t="s">
        <v>3762</v>
      </c>
      <c r="G145" s="11" t="s">
        <v>3763</v>
      </c>
      <c r="H145" s="11"/>
      <c r="I145" s="11" t="s">
        <v>3764</v>
      </c>
      <c r="J145" s="11" t="s">
        <v>3765</v>
      </c>
      <c r="K145" s="11" t="s">
        <v>3766</v>
      </c>
      <c r="L145" s="13"/>
    </row>
    <row r="146" spans="1:12" ht="18" customHeight="1" x14ac:dyDescent="0.25">
      <c r="A146" s="12"/>
      <c r="B146" s="11" t="s">
        <v>3190</v>
      </c>
      <c r="C146" s="11" t="str">
        <f>IFERROR(VLOOKUP(B146,[1]customers!$A:$B,2,0),"")</f>
        <v/>
      </c>
      <c r="D146" s="11" t="s">
        <v>3191</v>
      </c>
      <c r="E146" s="11" t="str" cm="1">
        <f t="array" ref="E146">IF(Table15[[#This Row],[Scott Correction]]="",Table15[[#This Row],[customer_id]],_xlfn.XLOOKUP(Table15[[#This Row],[Scott Correction]],[1]!Table2[[#All],[name]],[1]!Table2[[#All],[id]],"",0,1))</f>
        <v/>
      </c>
      <c r="F146" s="11" t="s">
        <v>3762</v>
      </c>
      <c r="G146" s="11" t="s">
        <v>3767</v>
      </c>
      <c r="H146" s="11"/>
      <c r="I146" s="11" t="s">
        <v>3768</v>
      </c>
      <c r="J146" s="11"/>
      <c r="K146" s="11" t="s">
        <v>3769</v>
      </c>
      <c r="L146" s="13"/>
    </row>
    <row r="147" spans="1:12" ht="18" customHeight="1" x14ac:dyDescent="0.25">
      <c r="A147" s="12"/>
      <c r="B147" s="11" t="s">
        <v>3190</v>
      </c>
      <c r="C147" s="11" t="str">
        <f>IFERROR(VLOOKUP(B147,[1]customers!$A:$B,2,0),"")</f>
        <v/>
      </c>
      <c r="D147" s="11" t="s">
        <v>3191</v>
      </c>
      <c r="E147" s="11" t="str" cm="1">
        <f t="array" ref="E147">IF(Table15[[#This Row],[Scott Correction]]="",Table15[[#This Row],[customer_id]],_xlfn.XLOOKUP(Table15[[#This Row],[Scott Correction]],[1]!Table2[[#All],[name]],[1]!Table2[[#All],[id]],"",0,1))</f>
        <v/>
      </c>
      <c r="F147" s="11" t="s">
        <v>3762</v>
      </c>
      <c r="G147" s="11" t="s">
        <v>3770</v>
      </c>
      <c r="H147" s="11"/>
      <c r="I147" s="11" t="s">
        <v>3771</v>
      </c>
      <c r="J147" s="11" t="s">
        <v>3772</v>
      </c>
      <c r="K147" s="11" t="s">
        <v>3773</v>
      </c>
      <c r="L147" s="13"/>
    </row>
    <row r="148" spans="1:12" ht="18" customHeight="1" x14ac:dyDescent="0.25">
      <c r="A148" s="4"/>
      <c r="B148" s="5">
        <v>200</v>
      </c>
      <c r="C148" s="6" t="str">
        <f>IFERROR(VLOOKUP(B148,[1]customers!$A:$B,2,0),"")</f>
        <v>Dover Hydraulics, Inc</v>
      </c>
      <c r="D148" s="6" t="s">
        <v>3191</v>
      </c>
      <c r="E148" s="6" t="str" cm="1">
        <f t="array" ref="E148">IF(Table15[[#This Row],[Scott Correction]]="",Table15[[#This Row],[customer_id]],_xlfn.XLOOKUP(Table15[[#This Row],[Scott Correction]],[1]!Table2[[#All],[name]],[1]!Table2[[#All],[id]],"",0,1))</f>
        <v/>
      </c>
      <c r="F148" s="5" t="s">
        <v>3774</v>
      </c>
      <c r="G148" s="5" t="s">
        <v>3775</v>
      </c>
      <c r="H148" s="5"/>
      <c r="I148" s="5" t="s">
        <v>3776</v>
      </c>
      <c r="J148" s="5"/>
      <c r="K148" s="5" t="s">
        <v>3777</v>
      </c>
      <c r="L148" s="7"/>
    </row>
    <row r="149" spans="1:12" ht="18" customHeight="1" x14ac:dyDescent="0.25">
      <c r="A149" s="12"/>
      <c r="B149" s="11" t="s">
        <v>3190</v>
      </c>
      <c r="C149" s="11" t="str">
        <f>IFERROR(VLOOKUP(B149,[1]customers!$A:$B,2,0),"")</f>
        <v/>
      </c>
      <c r="D149" s="11" t="s">
        <v>3191</v>
      </c>
      <c r="E149" s="11" t="str" cm="1">
        <f t="array" ref="E149">IF(Table15[[#This Row],[Scott Correction]]="",Table15[[#This Row],[customer_id]],_xlfn.XLOOKUP(Table15[[#This Row],[Scott Correction]],[1]!Table2[[#All],[name]],[1]!Table2[[#All],[id]],"",0,1))</f>
        <v/>
      </c>
      <c r="F149" s="11" t="s">
        <v>3778</v>
      </c>
      <c r="G149" s="11" t="s">
        <v>3779</v>
      </c>
      <c r="H149" s="11"/>
      <c r="I149" s="11" t="s">
        <v>3780</v>
      </c>
      <c r="J149" s="11" t="s">
        <v>3781</v>
      </c>
      <c r="K149" s="11" t="s">
        <v>3782</v>
      </c>
      <c r="L149" s="13"/>
    </row>
    <row r="150" spans="1:12" ht="18" customHeight="1" x14ac:dyDescent="0.25">
      <c r="A150" s="4"/>
      <c r="B150" s="5">
        <v>570</v>
      </c>
      <c r="C150" s="6" t="str">
        <f>IFERROR(VLOOKUP(B150,[1]customers!$A:$B,2,0),"")</f>
        <v>RMS Transport</v>
      </c>
      <c r="D150" s="6" t="s">
        <v>3191</v>
      </c>
      <c r="E150" s="6" t="str" cm="1">
        <f t="array" ref="E150">IF(Table15[[#This Row],[Scott Correction]]="",Table15[[#This Row],[customer_id]],_xlfn.XLOOKUP(Table15[[#This Row],[Scott Correction]],[1]!Table2[[#All],[name]],[1]!Table2[[#All],[id]],"",0,1))</f>
        <v/>
      </c>
      <c r="F150" s="5" t="s">
        <v>3783</v>
      </c>
      <c r="G150" s="5" t="s">
        <v>3784</v>
      </c>
      <c r="H150" s="5"/>
      <c r="I150" s="5" t="s">
        <v>3785</v>
      </c>
      <c r="J150" s="5"/>
      <c r="K150" s="5" t="s">
        <v>3786</v>
      </c>
      <c r="L150" s="7"/>
    </row>
    <row r="151" spans="1:12" ht="18" customHeight="1" x14ac:dyDescent="0.25">
      <c r="A151" s="12"/>
      <c r="B151" s="11" t="s">
        <v>3190</v>
      </c>
      <c r="C151" s="11" t="str">
        <f>IFERROR(VLOOKUP(B151,[1]customers!$A:$B,2,0),"")</f>
        <v/>
      </c>
      <c r="D151" s="11" t="s">
        <v>3191</v>
      </c>
      <c r="E151" s="11" t="str" cm="1">
        <f t="array" ref="E151">IF(Table15[[#This Row],[Scott Correction]]="",Table15[[#This Row],[customer_id]],_xlfn.XLOOKUP(Table15[[#This Row],[Scott Correction]],[1]!Table2[[#All],[name]],[1]!Table2[[#All],[id]],"",0,1))</f>
        <v/>
      </c>
      <c r="F151" s="11" t="s">
        <v>3787</v>
      </c>
      <c r="G151" s="11" t="s">
        <v>126</v>
      </c>
      <c r="H151" s="11"/>
      <c r="I151" s="11" t="s">
        <v>3788</v>
      </c>
      <c r="J151" s="11"/>
      <c r="K151" s="11" t="s">
        <v>3789</v>
      </c>
      <c r="L151" s="13"/>
    </row>
    <row r="152" spans="1:12" ht="18" customHeight="1" x14ac:dyDescent="0.25">
      <c r="A152" s="12"/>
      <c r="B152" s="11" t="s">
        <v>3190</v>
      </c>
      <c r="C152" s="11" t="str">
        <f>IFERROR(VLOOKUP(B152,[1]customers!$A:$B,2,0),"")</f>
        <v/>
      </c>
      <c r="D152" s="11" t="s">
        <v>3191</v>
      </c>
      <c r="E152" s="11" t="str" cm="1">
        <f t="array" ref="E152">IF(Table15[[#This Row],[Scott Correction]]="",Table15[[#This Row],[customer_id]],_xlfn.XLOOKUP(Table15[[#This Row],[Scott Correction]],[1]!Table2[[#All],[name]],[1]!Table2[[#All],[id]],"",0,1))</f>
        <v/>
      </c>
      <c r="F152" s="11" t="s">
        <v>3790</v>
      </c>
      <c r="G152" s="11" t="s">
        <v>3791</v>
      </c>
      <c r="H152" s="11"/>
      <c r="I152" s="11" t="s">
        <v>3792</v>
      </c>
      <c r="J152" s="11"/>
      <c r="K152" s="11" t="s">
        <v>3793</v>
      </c>
      <c r="L152" s="13"/>
    </row>
    <row r="153" spans="1:12" ht="18" customHeight="1" x14ac:dyDescent="0.25">
      <c r="A153" s="12"/>
      <c r="B153" s="11" t="s">
        <v>3190</v>
      </c>
      <c r="C153" s="11" t="str">
        <f>IFERROR(VLOOKUP(B153,[1]customers!$A:$B,2,0),"")</f>
        <v/>
      </c>
      <c r="D153" s="11" t="s">
        <v>3191</v>
      </c>
      <c r="E153" s="11" t="str" cm="1">
        <f t="array" ref="E153">IF(Table15[[#This Row],[Scott Correction]]="",Table15[[#This Row],[customer_id]],_xlfn.XLOOKUP(Table15[[#This Row],[Scott Correction]],[1]!Table2[[#All],[name]],[1]!Table2[[#All],[id]],"",0,1))</f>
        <v/>
      </c>
      <c r="F153" s="11" t="s">
        <v>3794</v>
      </c>
      <c r="G153" s="11" t="s">
        <v>3795</v>
      </c>
      <c r="H153" s="11"/>
      <c r="I153" s="11" t="s">
        <v>3796</v>
      </c>
      <c r="J153" s="11" t="s">
        <v>3797</v>
      </c>
      <c r="K153" s="11" t="s">
        <v>3798</v>
      </c>
      <c r="L153" s="13"/>
    </row>
    <row r="154" spans="1:12" ht="18" customHeight="1" x14ac:dyDescent="0.25">
      <c r="A154" s="12"/>
      <c r="B154" s="11" t="s">
        <v>3190</v>
      </c>
      <c r="C154" s="11" t="str">
        <f>IFERROR(VLOOKUP(B154,[1]customers!$A:$B,2,0),"")</f>
        <v/>
      </c>
      <c r="D154" s="11" t="s">
        <v>3191</v>
      </c>
      <c r="E154" s="11" t="str" cm="1">
        <f t="array" ref="E154">IF(Table15[[#This Row],[Scott Correction]]="",Table15[[#This Row],[customer_id]],_xlfn.XLOOKUP(Table15[[#This Row],[Scott Correction]],[1]!Table2[[#All],[name]],[1]!Table2[[#All],[id]],"",0,1))</f>
        <v/>
      </c>
      <c r="F154" s="11" t="s">
        <v>3799</v>
      </c>
      <c r="G154" s="11" t="s">
        <v>3800</v>
      </c>
      <c r="H154" s="11"/>
      <c r="I154" s="11" t="s">
        <v>3801</v>
      </c>
      <c r="J154" s="11"/>
      <c r="K154" s="11" t="s">
        <v>3802</v>
      </c>
      <c r="L154" s="13"/>
    </row>
    <row r="155" spans="1:12" ht="18" customHeight="1" x14ac:dyDescent="0.25">
      <c r="A155" s="12"/>
      <c r="B155" s="11" t="s">
        <v>3190</v>
      </c>
      <c r="C155" s="11" t="str">
        <f>IFERROR(VLOOKUP(B155,[1]customers!$A:$B,2,0),"")</f>
        <v/>
      </c>
      <c r="D155" s="11" t="s">
        <v>3191</v>
      </c>
      <c r="E155" s="11" t="str" cm="1">
        <f t="array" ref="E155">IF(Table15[[#This Row],[Scott Correction]]="",Table15[[#This Row],[customer_id]],_xlfn.XLOOKUP(Table15[[#This Row],[Scott Correction]],[1]!Table2[[#All],[name]],[1]!Table2[[#All],[id]],"",0,1))</f>
        <v/>
      </c>
      <c r="F155" s="11" t="s">
        <v>3803</v>
      </c>
      <c r="G155" s="11" t="s">
        <v>3804</v>
      </c>
      <c r="H155" s="11"/>
      <c r="I155" s="11" t="s">
        <v>3805</v>
      </c>
      <c r="J155" s="11"/>
      <c r="K155" s="11" t="s">
        <v>3806</v>
      </c>
      <c r="L155" s="13"/>
    </row>
    <row r="156" spans="1:12" ht="18" customHeight="1" x14ac:dyDescent="0.25">
      <c r="A156" s="12"/>
      <c r="B156" s="11" t="s">
        <v>3190</v>
      </c>
      <c r="C156" s="11" t="str">
        <f>IFERROR(VLOOKUP(B156,[1]customers!$A:$B,2,0),"")</f>
        <v/>
      </c>
      <c r="D156" s="11" t="s">
        <v>3191</v>
      </c>
      <c r="E156" s="11" t="str" cm="1">
        <f t="array" ref="E156">IF(Table15[[#This Row],[Scott Correction]]="",Table15[[#This Row],[customer_id]],_xlfn.XLOOKUP(Table15[[#This Row],[Scott Correction]],[1]!Table2[[#All],[name]],[1]!Table2[[#All],[id]],"",0,1))</f>
        <v/>
      </c>
      <c r="F156" s="11" t="s">
        <v>3807</v>
      </c>
      <c r="G156" s="11" t="s">
        <v>3808</v>
      </c>
      <c r="H156" s="11"/>
      <c r="I156" s="11" t="s">
        <v>3809</v>
      </c>
      <c r="J156" s="11" t="s">
        <v>3810</v>
      </c>
      <c r="K156" s="11"/>
      <c r="L156" s="13"/>
    </row>
    <row r="157" spans="1:12" ht="18" customHeight="1" x14ac:dyDescent="0.25">
      <c r="A157" s="8"/>
      <c r="B157" s="9">
        <v>196</v>
      </c>
      <c r="C157" s="6" t="str">
        <f>IFERROR(VLOOKUP(B157,[1]customers!$A:$B,2,0),"")</f>
        <v>DK Manufacturing</v>
      </c>
      <c r="D157" s="6" t="s">
        <v>3191</v>
      </c>
      <c r="E157" s="6" t="str" cm="1">
        <f t="array" ref="E157">IF(Table15[[#This Row],[Scott Correction]]="",Table15[[#This Row],[customer_id]],_xlfn.XLOOKUP(Table15[[#This Row],[Scott Correction]],[1]!Table2[[#All],[name]],[1]!Table2[[#All],[id]],"",0,1))</f>
        <v/>
      </c>
      <c r="F157" s="9" t="s">
        <v>3811</v>
      </c>
      <c r="G157" s="9" t="s">
        <v>3812</v>
      </c>
      <c r="H157" s="9"/>
      <c r="I157" s="9" t="s">
        <v>3813</v>
      </c>
      <c r="J157" s="9"/>
      <c r="K157" s="9">
        <v>2163102197</v>
      </c>
      <c r="L157" s="10"/>
    </row>
    <row r="158" spans="1:12" ht="18" customHeight="1" x14ac:dyDescent="0.25">
      <c r="A158" s="12"/>
      <c r="B158" s="11" t="s">
        <v>3190</v>
      </c>
      <c r="C158" s="11" t="str">
        <f>IFERROR(VLOOKUP(B158,[1]customers!$A:$B,2,0),"")</f>
        <v/>
      </c>
      <c r="D158" s="11" t="s">
        <v>3191</v>
      </c>
      <c r="E158" s="11" t="str" cm="1">
        <f t="array" ref="E158">IF(Table15[[#This Row],[Scott Correction]]="",Table15[[#This Row],[customer_id]],_xlfn.XLOOKUP(Table15[[#This Row],[Scott Correction]],[1]!Table2[[#All],[name]],[1]!Table2[[#All],[id]],"",0,1))</f>
        <v/>
      </c>
      <c r="F158" s="11" t="s">
        <v>3814</v>
      </c>
      <c r="G158" s="11" t="s">
        <v>3815</v>
      </c>
      <c r="H158" s="11"/>
      <c r="I158" s="11" t="s">
        <v>3816</v>
      </c>
      <c r="J158" s="11"/>
      <c r="K158" s="11" t="s">
        <v>3817</v>
      </c>
      <c r="L158" s="13"/>
    </row>
    <row r="159" spans="1:12" ht="18" customHeight="1" x14ac:dyDescent="0.25">
      <c r="A159" s="4"/>
      <c r="B159" s="5">
        <v>425</v>
      </c>
      <c r="C159" s="6" t="str">
        <f>IFERROR(VLOOKUP(B159,[1]customers!$A:$B,2,0),"")</f>
        <v>Mid American</v>
      </c>
      <c r="D159" s="6" t="s">
        <v>3191</v>
      </c>
      <c r="E159" s="6" t="str" cm="1">
        <f t="array" ref="E159">IF(Table15[[#This Row],[Scott Correction]]="",Table15[[#This Row],[customer_id]],_xlfn.XLOOKUP(Table15[[#This Row],[Scott Correction]],[1]!Table2[[#All],[name]],[1]!Table2[[#All],[id]],"",0,1))</f>
        <v/>
      </c>
      <c r="F159" s="5" t="s">
        <v>3818</v>
      </c>
      <c r="G159" s="5" t="s">
        <v>3819</v>
      </c>
      <c r="H159" s="5"/>
      <c r="I159" s="5"/>
      <c r="J159" s="5"/>
      <c r="K159" s="5" t="s">
        <v>3820</v>
      </c>
      <c r="L159" s="7"/>
    </row>
    <row r="160" spans="1:12" ht="18" customHeight="1" x14ac:dyDescent="0.25">
      <c r="A160" s="12"/>
      <c r="B160" s="11" t="s">
        <v>3190</v>
      </c>
      <c r="C160" s="11" t="str">
        <f>IFERROR(VLOOKUP(B160,[1]customers!$A:$B,2,0),"")</f>
        <v/>
      </c>
      <c r="D160" s="11" t="s">
        <v>3191</v>
      </c>
      <c r="E160" s="11" t="str" cm="1">
        <f t="array" ref="E160">IF(Table15[[#This Row],[Scott Correction]]="",Table15[[#This Row],[customer_id]],_xlfn.XLOOKUP(Table15[[#This Row],[Scott Correction]],[1]!Table2[[#All],[name]],[1]!Table2[[#All],[id]],"",0,1))</f>
        <v/>
      </c>
      <c r="F160" s="11" t="s">
        <v>3821</v>
      </c>
      <c r="G160" s="11" t="s">
        <v>3822</v>
      </c>
      <c r="H160" s="11"/>
      <c r="I160" s="11" t="s">
        <v>3823</v>
      </c>
      <c r="J160" s="11"/>
      <c r="K160" s="11" t="s">
        <v>3824</v>
      </c>
      <c r="L160" s="13"/>
    </row>
    <row r="161" spans="1:12" ht="18" customHeight="1" x14ac:dyDescent="0.25">
      <c r="A161" s="12"/>
      <c r="B161" s="11" t="s">
        <v>3190</v>
      </c>
      <c r="C161" s="11" t="str">
        <f>IFERROR(VLOOKUP(B161,[1]customers!$A:$B,2,0),"")</f>
        <v/>
      </c>
      <c r="D161" s="11" t="s">
        <v>3191</v>
      </c>
      <c r="E161" s="11" t="str" cm="1">
        <f t="array" ref="E161">IF(Table15[[#This Row],[Scott Correction]]="",Table15[[#This Row],[customer_id]],_xlfn.XLOOKUP(Table15[[#This Row],[Scott Correction]],[1]!Table2[[#All],[name]],[1]!Table2[[#All],[id]],"",0,1))</f>
        <v/>
      </c>
      <c r="F161" s="11" t="s">
        <v>3821</v>
      </c>
      <c r="G161" s="11" t="s">
        <v>3825</v>
      </c>
      <c r="H161" s="11"/>
      <c r="I161" s="11" t="s">
        <v>3826</v>
      </c>
      <c r="J161" s="11"/>
      <c r="K161" s="11" t="s">
        <v>3827</v>
      </c>
      <c r="L161" s="13"/>
    </row>
    <row r="162" spans="1:12" ht="18" customHeight="1" x14ac:dyDescent="0.25">
      <c r="A162" s="12"/>
      <c r="B162" s="11" t="s">
        <v>3190</v>
      </c>
      <c r="C162" s="11" t="str">
        <f>IFERROR(VLOOKUP(B162,[1]customers!$A:$B,2,0),"")</f>
        <v/>
      </c>
      <c r="D162" s="11" t="s">
        <v>3191</v>
      </c>
      <c r="E162" s="11" t="str" cm="1">
        <f t="array" ref="E162">IF(Table15[[#This Row],[Scott Correction]]="",Table15[[#This Row],[customer_id]],_xlfn.XLOOKUP(Table15[[#This Row],[Scott Correction]],[1]!Table2[[#All],[name]],[1]!Table2[[#All],[id]],"",0,1))</f>
        <v/>
      </c>
      <c r="F162" s="11" t="s">
        <v>3828</v>
      </c>
      <c r="G162" s="11" t="s">
        <v>3829</v>
      </c>
      <c r="H162" s="11"/>
      <c r="I162" s="11" t="s">
        <v>3830</v>
      </c>
      <c r="J162" s="11"/>
      <c r="K162" s="11">
        <v>8179887433</v>
      </c>
      <c r="L162" s="13"/>
    </row>
    <row r="163" spans="1:12" ht="18" customHeight="1" x14ac:dyDescent="0.25">
      <c r="A163" s="12"/>
      <c r="B163" s="11" t="s">
        <v>3190</v>
      </c>
      <c r="C163" s="11" t="str">
        <f>IFERROR(VLOOKUP(B163,[1]customers!$A:$B,2,0),"")</f>
        <v/>
      </c>
      <c r="D163" s="11" t="s">
        <v>3191</v>
      </c>
      <c r="E163" s="11" t="str" cm="1">
        <f t="array" ref="E163">IF(Table15[[#This Row],[Scott Correction]]="",Table15[[#This Row],[customer_id]],_xlfn.XLOOKUP(Table15[[#This Row],[Scott Correction]],[1]!Table2[[#All],[name]],[1]!Table2[[#All],[id]],"",0,1))</f>
        <v/>
      </c>
      <c r="F163" s="11" t="s">
        <v>3831</v>
      </c>
      <c r="G163" s="11" t="s">
        <v>3832</v>
      </c>
      <c r="H163" s="11"/>
      <c r="I163" s="11" t="s">
        <v>3833</v>
      </c>
      <c r="J163" s="11"/>
      <c r="K163" s="11">
        <v>6074811289</v>
      </c>
      <c r="L163" s="13"/>
    </row>
    <row r="164" spans="1:12" ht="18" customHeight="1" x14ac:dyDescent="0.25">
      <c r="A164" s="12"/>
      <c r="B164" s="11" t="s">
        <v>3190</v>
      </c>
      <c r="C164" s="11" t="str">
        <f>IFERROR(VLOOKUP(B164,[1]customers!$A:$B,2,0),"")</f>
        <v/>
      </c>
      <c r="D164" s="11" t="s">
        <v>3191</v>
      </c>
      <c r="E164" s="11" t="str" cm="1">
        <f t="array" ref="E164">IF(Table15[[#This Row],[Scott Correction]]="",Table15[[#This Row],[customer_id]],_xlfn.XLOOKUP(Table15[[#This Row],[Scott Correction]],[1]!Table2[[#All],[name]],[1]!Table2[[#All],[id]],"",0,1))</f>
        <v/>
      </c>
      <c r="F164" s="11" t="s">
        <v>3834</v>
      </c>
      <c r="G164" s="11" t="s">
        <v>3835</v>
      </c>
      <c r="H164" s="11"/>
      <c r="I164" s="11" t="s">
        <v>3836</v>
      </c>
      <c r="J164" s="11"/>
      <c r="K164" s="11" t="s">
        <v>3837</v>
      </c>
      <c r="L164" s="13"/>
    </row>
    <row r="165" spans="1:12" ht="18" customHeight="1" x14ac:dyDescent="0.25">
      <c r="A165" s="12"/>
      <c r="B165" s="11" t="s">
        <v>3190</v>
      </c>
      <c r="C165" s="11" t="str">
        <f>IFERROR(VLOOKUP(B165,[1]customers!$A:$B,2,0),"")</f>
        <v/>
      </c>
      <c r="D165" s="11" t="s">
        <v>3191</v>
      </c>
      <c r="E165" s="11" t="str" cm="1">
        <f t="array" ref="E165">IF(Table15[[#This Row],[Scott Correction]]="",Table15[[#This Row],[customer_id]],_xlfn.XLOOKUP(Table15[[#This Row],[Scott Correction]],[1]!Table2[[#All],[name]],[1]!Table2[[#All],[id]],"",0,1))</f>
        <v/>
      </c>
      <c r="F165" s="11" t="s">
        <v>3838</v>
      </c>
      <c r="G165" s="11" t="s">
        <v>3839</v>
      </c>
      <c r="H165" s="11"/>
      <c r="I165" s="11"/>
      <c r="J165" s="11"/>
      <c r="K165" s="11" t="s">
        <v>3840</v>
      </c>
      <c r="L165" s="13"/>
    </row>
    <row r="166" spans="1:12" ht="18" customHeight="1" x14ac:dyDescent="0.25">
      <c r="A166" s="12"/>
      <c r="B166" s="11" t="s">
        <v>3190</v>
      </c>
      <c r="C166" s="11" t="str">
        <f>IFERROR(VLOOKUP(B166,[1]customers!$A:$B,2,0),"")</f>
        <v/>
      </c>
      <c r="D166" s="11" t="s">
        <v>3191</v>
      </c>
      <c r="E166" s="11" t="str" cm="1">
        <f t="array" ref="E166">IF(Table15[[#This Row],[Scott Correction]]="",Table15[[#This Row],[customer_id]],_xlfn.XLOOKUP(Table15[[#This Row],[Scott Correction]],[1]!Table2[[#All],[name]],[1]!Table2[[#All],[id]],"",0,1))</f>
        <v/>
      </c>
      <c r="F166" s="11" t="s">
        <v>3841</v>
      </c>
      <c r="G166" s="11" t="s">
        <v>3842</v>
      </c>
      <c r="H166" s="11"/>
      <c r="I166" s="11" t="s">
        <v>3843</v>
      </c>
      <c r="J166" s="11"/>
      <c r="K166" s="11">
        <v>3309875679</v>
      </c>
      <c r="L166" s="13"/>
    </row>
    <row r="167" spans="1:12" ht="18" customHeight="1" x14ac:dyDescent="0.25">
      <c r="A167" s="12"/>
      <c r="B167" s="11" t="s">
        <v>3190</v>
      </c>
      <c r="C167" s="11" t="str">
        <f>IFERROR(VLOOKUP(B167,[1]customers!$A:$B,2,0),"")</f>
        <v/>
      </c>
      <c r="D167" s="11" t="s">
        <v>3191</v>
      </c>
      <c r="E167" s="11" t="str" cm="1">
        <f t="array" ref="E167">IF(Table15[[#This Row],[Scott Correction]]="",Table15[[#This Row],[customer_id]],_xlfn.XLOOKUP(Table15[[#This Row],[Scott Correction]],[1]!Table2[[#All],[name]],[1]!Table2[[#All],[id]],"",0,1))</f>
        <v/>
      </c>
      <c r="F167" s="11" t="s">
        <v>3844</v>
      </c>
      <c r="G167" s="11" t="s">
        <v>3845</v>
      </c>
      <c r="H167" s="11"/>
      <c r="I167" s="11" t="s">
        <v>3846</v>
      </c>
      <c r="J167" s="11" t="s">
        <v>3847</v>
      </c>
      <c r="K167" s="11" t="s">
        <v>3848</v>
      </c>
      <c r="L167" s="13"/>
    </row>
    <row r="168" spans="1:12" ht="18" customHeight="1" x14ac:dyDescent="0.25">
      <c r="A168" s="8"/>
      <c r="B168" s="9">
        <v>196</v>
      </c>
      <c r="C168" s="6" t="str">
        <f>IFERROR(VLOOKUP(B168,[1]customers!$A:$B,2,0),"")</f>
        <v>DK Manufacturing</v>
      </c>
      <c r="D168" s="6" t="s">
        <v>3191</v>
      </c>
      <c r="E168" s="6" t="str" cm="1">
        <f t="array" ref="E168">IF(Table15[[#This Row],[Scott Correction]]="",Table15[[#This Row],[customer_id]],_xlfn.XLOOKUP(Table15[[#This Row],[Scott Correction]],[1]!Table2[[#All],[name]],[1]!Table2[[#All],[id]],"",0,1))</f>
        <v/>
      </c>
      <c r="F168" s="9" t="s">
        <v>3849</v>
      </c>
      <c r="G168" s="9" t="s">
        <v>3850</v>
      </c>
      <c r="H168" s="9"/>
      <c r="I168" s="9" t="s">
        <v>3851</v>
      </c>
      <c r="J168" s="9" t="s">
        <v>3852</v>
      </c>
      <c r="K168" s="9" t="s">
        <v>3853</v>
      </c>
      <c r="L168" s="10"/>
    </row>
    <row r="169" spans="1:12" ht="18" customHeight="1" x14ac:dyDescent="0.25">
      <c r="A169" s="4"/>
      <c r="B169" s="5">
        <v>196</v>
      </c>
      <c r="C169" s="6" t="str">
        <f>IFERROR(VLOOKUP(B169,[1]customers!$A:$B,2,0),"")</f>
        <v>DK Manufacturing</v>
      </c>
      <c r="D169" s="6" t="s">
        <v>3191</v>
      </c>
      <c r="E169" s="6" t="str" cm="1">
        <f t="array" ref="E169">IF(Table15[[#This Row],[Scott Correction]]="",Table15[[#This Row],[customer_id]],_xlfn.XLOOKUP(Table15[[#This Row],[Scott Correction]],[1]!Table2[[#All],[name]],[1]!Table2[[#All],[id]],"",0,1))</f>
        <v/>
      </c>
      <c r="F169" s="5" t="s">
        <v>3849</v>
      </c>
      <c r="G169" s="5" t="s">
        <v>3854</v>
      </c>
      <c r="H169" s="5"/>
      <c r="I169" s="5"/>
      <c r="J169" s="5"/>
      <c r="K169" s="5" t="s">
        <v>3855</v>
      </c>
      <c r="L169" s="7"/>
    </row>
    <row r="170" spans="1:12" ht="18" customHeight="1" x14ac:dyDescent="0.25">
      <c r="A170" s="12"/>
      <c r="B170" s="11" t="s">
        <v>3190</v>
      </c>
      <c r="C170" s="11" t="str">
        <f>IFERROR(VLOOKUP(B170,[1]customers!$A:$B,2,0),"")</f>
        <v/>
      </c>
      <c r="D170" s="11" t="s">
        <v>3191</v>
      </c>
      <c r="E170" s="11" t="str" cm="1">
        <f t="array" ref="E170">IF(Table15[[#This Row],[Scott Correction]]="",Table15[[#This Row],[customer_id]],_xlfn.XLOOKUP(Table15[[#This Row],[Scott Correction]],[1]!Table2[[#All],[name]],[1]!Table2[[#All],[id]],"",0,1))</f>
        <v/>
      </c>
      <c r="F170" s="11" t="s">
        <v>3856</v>
      </c>
      <c r="G170" s="11" t="s">
        <v>3857</v>
      </c>
      <c r="H170" s="11"/>
      <c r="I170" s="11" t="s">
        <v>3858</v>
      </c>
      <c r="J170" s="11"/>
      <c r="K170" s="11" t="s">
        <v>3859</v>
      </c>
      <c r="L170" s="13"/>
    </row>
    <row r="171" spans="1:12" ht="18" customHeight="1" x14ac:dyDescent="0.25">
      <c r="A171" s="8"/>
      <c r="B171" s="9">
        <v>216</v>
      </c>
      <c r="C171" s="6" t="str">
        <f>IFERROR(VLOOKUP(B171,[1]customers!$A:$B,2,0),"")</f>
        <v>Edge Plastics</v>
      </c>
      <c r="D171" s="6" t="s">
        <v>3191</v>
      </c>
      <c r="E171" s="6" t="str" cm="1">
        <f t="array" ref="E171">IF(Table15[[#This Row],[Scott Correction]]="",Table15[[#This Row],[customer_id]],_xlfn.XLOOKUP(Table15[[#This Row],[Scott Correction]],[1]!Table2[[#All],[name]],[1]!Table2[[#All],[id]],"",0,1))</f>
        <v/>
      </c>
      <c r="F171" s="9" t="s">
        <v>3860</v>
      </c>
      <c r="G171" s="9" t="s">
        <v>3861</v>
      </c>
      <c r="H171" s="9"/>
      <c r="I171" s="9" t="s">
        <v>3862</v>
      </c>
      <c r="J171" s="9"/>
      <c r="K171" s="9" t="s">
        <v>3863</v>
      </c>
      <c r="L171" s="10"/>
    </row>
    <row r="172" spans="1:12" ht="18" customHeight="1" x14ac:dyDescent="0.25">
      <c r="A172" s="12"/>
      <c r="B172" s="11" t="s">
        <v>3190</v>
      </c>
      <c r="C172" s="11" t="str">
        <f>IFERROR(VLOOKUP(B172,[1]customers!$A:$B,2,0),"")</f>
        <v/>
      </c>
      <c r="D172" s="11" t="s">
        <v>3191</v>
      </c>
      <c r="E172" s="11" t="str" cm="1">
        <f t="array" ref="E172">IF(Table15[[#This Row],[Scott Correction]]="",Table15[[#This Row],[customer_id]],_xlfn.XLOOKUP(Table15[[#This Row],[Scott Correction]],[1]!Table2[[#All],[name]],[1]!Table2[[#All],[id]],"",0,1))</f>
        <v/>
      </c>
      <c r="F172" s="11" t="s">
        <v>3864</v>
      </c>
      <c r="G172" s="11" t="s">
        <v>3865</v>
      </c>
      <c r="H172" s="11"/>
      <c r="I172" s="11" t="s">
        <v>3866</v>
      </c>
      <c r="J172" s="11" t="s">
        <v>3867</v>
      </c>
      <c r="K172" s="11" t="s">
        <v>3868</v>
      </c>
      <c r="L172" s="13"/>
    </row>
    <row r="173" spans="1:12" ht="18" customHeight="1" x14ac:dyDescent="0.25">
      <c r="A173" s="12"/>
      <c r="B173" s="11" t="s">
        <v>3190</v>
      </c>
      <c r="C173" s="11" t="str">
        <f>IFERROR(VLOOKUP(B173,[1]customers!$A:$B,2,0),"")</f>
        <v/>
      </c>
      <c r="D173" s="11" t="s">
        <v>3191</v>
      </c>
      <c r="E173" s="11" t="str" cm="1">
        <f t="array" ref="E173">IF(Table15[[#This Row],[Scott Correction]]="",Table15[[#This Row],[customer_id]],_xlfn.XLOOKUP(Table15[[#This Row],[Scott Correction]],[1]!Table2[[#All],[name]],[1]!Table2[[#All],[id]],"",0,1))</f>
        <v/>
      </c>
      <c r="F173" s="11" t="s">
        <v>3869</v>
      </c>
      <c r="G173" s="11" t="s">
        <v>3870</v>
      </c>
      <c r="H173" s="11"/>
      <c r="I173" s="11" t="s">
        <v>3871</v>
      </c>
      <c r="J173" s="11"/>
      <c r="K173" s="11" t="s">
        <v>3872</v>
      </c>
      <c r="L173" s="13"/>
    </row>
    <row r="174" spans="1:12" ht="18" customHeight="1" x14ac:dyDescent="0.25">
      <c r="A174" s="12"/>
      <c r="B174" s="11" t="s">
        <v>3190</v>
      </c>
      <c r="C174" s="11" t="str">
        <f>IFERROR(VLOOKUP(B174,[1]customers!$A:$B,2,0),"")</f>
        <v/>
      </c>
      <c r="D174" s="11" t="s">
        <v>3191</v>
      </c>
      <c r="E174" s="11" t="str" cm="1">
        <f t="array" ref="E174">IF(Table15[[#This Row],[Scott Correction]]="",Table15[[#This Row],[customer_id]],_xlfn.XLOOKUP(Table15[[#This Row],[Scott Correction]],[1]!Table2[[#All],[name]],[1]!Table2[[#All],[id]],"",0,1))</f>
        <v/>
      </c>
      <c r="F174" s="11" t="s">
        <v>3873</v>
      </c>
      <c r="G174" s="11" t="s">
        <v>3874</v>
      </c>
      <c r="H174" s="11"/>
      <c r="I174" s="11" t="s">
        <v>3875</v>
      </c>
      <c r="J174" s="11"/>
      <c r="K174" s="11">
        <v>3303229828</v>
      </c>
      <c r="L174" s="13"/>
    </row>
    <row r="175" spans="1:12" ht="18" customHeight="1" x14ac:dyDescent="0.25">
      <c r="A175" s="12"/>
      <c r="B175" s="11" t="s">
        <v>3190</v>
      </c>
      <c r="C175" s="11" t="str">
        <f>IFERROR(VLOOKUP(B175,[1]customers!$A:$B,2,0),"")</f>
        <v/>
      </c>
      <c r="D175" s="11" t="s">
        <v>3191</v>
      </c>
      <c r="E175" s="11" t="str" cm="1">
        <f t="array" ref="E175">IF(Table15[[#This Row],[Scott Correction]]="",Table15[[#This Row],[customer_id]],_xlfn.XLOOKUP(Table15[[#This Row],[Scott Correction]],[1]!Table2[[#All],[name]],[1]!Table2[[#All],[id]],"",0,1))</f>
        <v/>
      </c>
      <c r="F175" s="11" t="s">
        <v>3876</v>
      </c>
      <c r="G175" s="11" t="s">
        <v>3877</v>
      </c>
      <c r="H175" s="11"/>
      <c r="I175" s="11" t="s">
        <v>3878</v>
      </c>
      <c r="J175" s="11" t="s">
        <v>3879</v>
      </c>
      <c r="K175" s="11" t="s">
        <v>3880</v>
      </c>
      <c r="L175" s="13"/>
    </row>
    <row r="176" spans="1:12" ht="18" customHeight="1" x14ac:dyDescent="0.25">
      <c r="A176" s="12"/>
      <c r="B176" s="11" t="s">
        <v>3190</v>
      </c>
      <c r="C176" s="11" t="str">
        <f>IFERROR(VLOOKUP(B176,[1]customers!$A:$B,2,0),"")</f>
        <v/>
      </c>
      <c r="D176" s="11" t="s">
        <v>3191</v>
      </c>
      <c r="E176" s="11" t="str" cm="1">
        <f t="array" ref="E176">IF(Table15[[#This Row],[Scott Correction]]="",Table15[[#This Row],[customer_id]],_xlfn.XLOOKUP(Table15[[#This Row],[Scott Correction]],[1]!Table2[[#All],[name]],[1]!Table2[[#All],[id]],"",0,1))</f>
        <v/>
      </c>
      <c r="F176" s="11" t="s">
        <v>3881</v>
      </c>
      <c r="G176" s="11" t="s">
        <v>3882</v>
      </c>
      <c r="H176" s="11"/>
      <c r="I176" s="11" t="s">
        <v>3883</v>
      </c>
      <c r="J176" s="11" t="s">
        <v>3884</v>
      </c>
      <c r="K176" s="11" t="s">
        <v>3885</v>
      </c>
      <c r="L176" s="13"/>
    </row>
    <row r="177" spans="1:12" ht="18" customHeight="1" x14ac:dyDescent="0.25">
      <c r="A177" s="12"/>
      <c r="B177" s="11" t="s">
        <v>3190</v>
      </c>
      <c r="C177" s="11" t="str">
        <f>IFERROR(VLOOKUP(B177,[1]customers!$A:$B,2,0),"")</f>
        <v/>
      </c>
      <c r="D177" s="11" t="s">
        <v>3191</v>
      </c>
      <c r="E177" s="11" t="str" cm="1">
        <f t="array" ref="E177">IF(Table15[[#This Row],[Scott Correction]]="",Table15[[#This Row],[customer_id]],_xlfn.XLOOKUP(Table15[[#This Row],[Scott Correction]],[1]!Table2[[#All],[name]],[1]!Table2[[#All],[id]],"",0,1))</f>
        <v/>
      </c>
      <c r="F177" s="11" t="s">
        <v>3886</v>
      </c>
      <c r="G177" s="11" t="s">
        <v>3887</v>
      </c>
      <c r="H177" s="11"/>
      <c r="I177" s="11"/>
      <c r="J177" s="11"/>
      <c r="K177" s="11" t="s">
        <v>3888</v>
      </c>
      <c r="L177" s="13"/>
    </row>
    <row r="178" spans="1:12" ht="18" customHeight="1" x14ac:dyDescent="0.25">
      <c r="A178" s="12"/>
      <c r="B178" s="11" t="s">
        <v>3190</v>
      </c>
      <c r="C178" s="11" t="str">
        <f>IFERROR(VLOOKUP(B178,[1]customers!$A:$B,2,0),"")</f>
        <v/>
      </c>
      <c r="D178" s="11" t="s">
        <v>3191</v>
      </c>
      <c r="E178" s="11" t="str" cm="1">
        <f t="array" ref="E178">IF(Table15[[#This Row],[Scott Correction]]="",Table15[[#This Row],[customer_id]],_xlfn.XLOOKUP(Table15[[#This Row],[Scott Correction]],[1]!Table2[[#All],[name]],[1]!Table2[[#All],[id]],"",0,1))</f>
        <v/>
      </c>
      <c r="F178" s="11" t="s">
        <v>3889</v>
      </c>
      <c r="G178" s="11" t="s">
        <v>3890</v>
      </c>
      <c r="H178" s="11"/>
      <c r="I178" s="11"/>
      <c r="J178" s="11"/>
      <c r="K178" s="11"/>
      <c r="L178" s="13"/>
    </row>
    <row r="179" spans="1:12" ht="18" customHeight="1" x14ac:dyDescent="0.25">
      <c r="A179" s="12"/>
      <c r="B179" s="11" t="s">
        <v>3190</v>
      </c>
      <c r="C179" s="11" t="str">
        <f>IFERROR(VLOOKUP(B179,[1]customers!$A:$B,2,0),"")</f>
        <v/>
      </c>
      <c r="D179" s="11" t="s">
        <v>3191</v>
      </c>
      <c r="E179" s="11" t="str" cm="1">
        <f t="array" ref="E179">IF(Table15[[#This Row],[Scott Correction]]="",Table15[[#This Row],[customer_id]],_xlfn.XLOOKUP(Table15[[#This Row],[Scott Correction]],[1]!Table2[[#All],[name]],[1]!Table2[[#All],[id]],"",0,1))</f>
        <v/>
      </c>
      <c r="F179" s="11" t="s">
        <v>3889</v>
      </c>
      <c r="G179" s="11" t="s">
        <v>3891</v>
      </c>
      <c r="H179" s="11"/>
      <c r="I179" s="11" t="s">
        <v>3892</v>
      </c>
      <c r="J179" s="11"/>
      <c r="K179" s="11" t="s">
        <v>3893</v>
      </c>
      <c r="L179" s="13"/>
    </row>
    <row r="180" spans="1:12" ht="18" customHeight="1" x14ac:dyDescent="0.25">
      <c r="A180" s="12"/>
      <c r="B180" s="11" t="s">
        <v>3190</v>
      </c>
      <c r="C180" s="11" t="str">
        <f>IFERROR(VLOOKUP(B180,[1]customers!$A:$B,2,0),"")</f>
        <v/>
      </c>
      <c r="D180" s="11" t="s">
        <v>3191</v>
      </c>
      <c r="E180" s="11" t="str" cm="1">
        <f t="array" ref="E180">IF(Table15[[#This Row],[Scott Correction]]="",Table15[[#This Row],[customer_id]],_xlfn.XLOOKUP(Table15[[#This Row],[Scott Correction]],[1]!Table2[[#All],[name]],[1]!Table2[[#All],[id]],"",0,1))</f>
        <v/>
      </c>
      <c r="F180" s="11" t="s">
        <v>3894</v>
      </c>
      <c r="G180" s="11" t="s">
        <v>3895</v>
      </c>
      <c r="H180" s="11"/>
      <c r="I180" s="11" t="s">
        <v>3896</v>
      </c>
      <c r="J180" s="11"/>
      <c r="K180" s="11" t="s">
        <v>3897</v>
      </c>
      <c r="L180" s="13"/>
    </row>
    <row r="181" spans="1:12" ht="18" customHeight="1" x14ac:dyDescent="0.25">
      <c r="A181" s="4"/>
      <c r="B181" s="5">
        <v>391</v>
      </c>
      <c r="C181" s="6" t="str">
        <f>IFERROR(VLOOKUP(B181,[1]customers!$A:$B,2,0),"")</f>
        <v>Liberty Machinery</v>
      </c>
      <c r="D181" s="6" t="s">
        <v>3191</v>
      </c>
      <c r="E181" s="6" t="str" cm="1">
        <f t="array" ref="E181">IF(Table15[[#This Row],[Scott Correction]]="",Table15[[#This Row],[customer_id]],_xlfn.XLOOKUP(Table15[[#This Row],[Scott Correction]],[1]!Table2[[#All],[name]],[1]!Table2[[#All],[id]],"",0,1))</f>
        <v/>
      </c>
      <c r="F181" s="5" t="s">
        <v>3898</v>
      </c>
      <c r="G181" s="5" t="s">
        <v>3899</v>
      </c>
      <c r="H181" s="5"/>
      <c r="I181" s="5" t="s">
        <v>3900</v>
      </c>
      <c r="J181" s="5"/>
      <c r="K181" s="5" t="s">
        <v>3901</v>
      </c>
      <c r="L181" s="7"/>
    </row>
    <row r="182" spans="1:12" ht="18" customHeight="1" x14ac:dyDescent="0.25">
      <c r="A182" s="12"/>
      <c r="B182" s="11" t="s">
        <v>3190</v>
      </c>
      <c r="C182" s="11" t="str">
        <f>IFERROR(VLOOKUP(B182,[1]customers!$A:$B,2,0),"")</f>
        <v/>
      </c>
      <c r="D182" s="11" t="s">
        <v>3191</v>
      </c>
      <c r="E182" s="11" t="str" cm="1">
        <f t="array" ref="E182">IF(Table15[[#This Row],[Scott Correction]]="",Table15[[#This Row],[customer_id]],_xlfn.XLOOKUP(Table15[[#This Row],[Scott Correction]],[1]!Table2[[#All],[name]],[1]!Table2[[#All],[id]],"",0,1))</f>
        <v/>
      </c>
      <c r="F182" s="11" t="s">
        <v>3902</v>
      </c>
      <c r="G182" s="11" t="s">
        <v>3903</v>
      </c>
      <c r="H182" s="11"/>
      <c r="I182" s="11" t="s">
        <v>3904</v>
      </c>
      <c r="J182" s="11"/>
      <c r="K182" s="11" t="s">
        <v>3905</v>
      </c>
      <c r="L182" s="13"/>
    </row>
    <row r="183" spans="1:12" ht="18" customHeight="1" x14ac:dyDescent="0.25">
      <c r="A183" s="12"/>
      <c r="B183" s="11" t="s">
        <v>3190</v>
      </c>
      <c r="C183" s="11" t="str">
        <f>IFERROR(VLOOKUP(B183,[1]customers!$A:$B,2,0),"")</f>
        <v/>
      </c>
      <c r="D183" s="11" t="s">
        <v>3191</v>
      </c>
      <c r="E183" s="11" t="str" cm="1">
        <f t="array" ref="E183">IF(Table15[[#This Row],[Scott Correction]]="",Table15[[#This Row],[customer_id]],_xlfn.XLOOKUP(Table15[[#This Row],[Scott Correction]],[1]!Table2[[#All],[name]],[1]!Table2[[#All],[id]],"",0,1))</f>
        <v/>
      </c>
      <c r="F183" s="11" t="s">
        <v>3906</v>
      </c>
      <c r="G183" s="11" t="s">
        <v>933</v>
      </c>
      <c r="H183" s="11"/>
      <c r="I183" s="11" t="s">
        <v>3907</v>
      </c>
      <c r="J183" s="11" t="s">
        <v>3908</v>
      </c>
      <c r="K183" s="11"/>
      <c r="L183" s="13"/>
    </row>
    <row r="184" spans="1:12" ht="18" customHeight="1" x14ac:dyDescent="0.25">
      <c r="A184" s="12"/>
      <c r="B184" s="11" t="s">
        <v>3190</v>
      </c>
      <c r="C184" s="11" t="str">
        <f>IFERROR(VLOOKUP(B184,[1]customers!$A:$B,2,0),"")</f>
        <v/>
      </c>
      <c r="D184" s="11" t="s">
        <v>3191</v>
      </c>
      <c r="E184" s="11" t="str" cm="1">
        <f t="array" ref="E184">IF(Table15[[#This Row],[Scott Correction]]="",Table15[[#This Row],[customer_id]],_xlfn.XLOOKUP(Table15[[#This Row],[Scott Correction]],[1]!Table2[[#All],[name]],[1]!Table2[[#All],[id]],"",0,1))</f>
        <v/>
      </c>
      <c r="F184" s="11" t="s">
        <v>3909</v>
      </c>
      <c r="G184" s="11" t="s">
        <v>3910</v>
      </c>
      <c r="H184" s="11"/>
      <c r="I184" s="11" t="s">
        <v>3911</v>
      </c>
      <c r="J184" s="11"/>
      <c r="K184" s="11" t="s">
        <v>3912</v>
      </c>
      <c r="L184" s="13"/>
    </row>
    <row r="185" spans="1:12" ht="18" customHeight="1" x14ac:dyDescent="0.25">
      <c r="A185" s="12"/>
      <c r="B185" s="11" t="s">
        <v>3190</v>
      </c>
      <c r="C185" s="11" t="str">
        <f>IFERROR(VLOOKUP(B185,[1]customers!$A:$B,2,0),"")</f>
        <v/>
      </c>
      <c r="D185" s="11" t="s">
        <v>3191</v>
      </c>
      <c r="E185" s="11" t="str" cm="1">
        <f t="array" ref="E185">IF(Table15[[#This Row],[Scott Correction]]="",Table15[[#This Row],[customer_id]],_xlfn.XLOOKUP(Table15[[#This Row],[Scott Correction]],[1]!Table2[[#All],[name]],[1]!Table2[[#All],[id]],"",0,1))</f>
        <v/>
      </c>
      <c r="F185" s="11" t="s">
        <v>3913</v>
      </c>
      <c r="G185" s="11" t="s">
        <v>2991</v>
      </c>
      <c r="H185" s="11"/>
      <c r="I185" s="11"/>
      <c r="J185" s="11" t="s">
        <v>2993</v>
      </c>
      <c r="K185" s="11"/>
      <c r="L185" s="13"/>
    </row>
    <row r="186" spans="1:12" ht="18" customHeight="1" x14ac:dyDescent="0.25">
      <c r="A186" s="12"/>
      <c r="B186" s="11" t="s">
        <v>3190</v>
      </c>
      <c r="C186" s="11" t="str">
        <f>IFERROR(VLOOKUP(B186,[1]customers!$A:$B,2,0),"")</f>
        <v/>
      </c>
      <c r="D186" s="11" t="s">
        <v>3191</v>
      </c>
      <c r="E186" s="11" t="str" cm="1">
        <f t="array" ref="E186">IF(Table15[[#This Row],[Scott Correction]]="",Table15[[#This Row],[customer_id]],_xlfn.XLOOKUP(Table15[[#This Row],[Scott Correction]],[1]!Table2[[#All],[name]],[1]!Table2[[#All],[id]],"",0,1))</f>
        <v/>
      </c>
      <c r="F186" s="11" t="s">
        <v>3914</v>
      </c>
      <c r="G186" s="11" t="s">
        <v>984</v>
      </c>
      <c r="H186" s="11"/>
      <c r="I186" s="11" t="s">
        <v>985</v>
      </c>
      <c r="J186" s="11"/>
      <c r="K186" s="11" t="s">
        <v>986</v>
      </c>
      <c r="L186" s="13"/>
    </row>
    <row r="187" spans="1:12" ht="18" customHeight="1" x14ac:dyDescent="0.25">
      <c r="A187" s="8"/>
      <c r="B187" s="9">
        <v>564</v>
      </c>
      <c r="C187" s="6" t="str">
        <f>IFERROR(VLOOKUP(B187,[1]customers!$A:$B,2,0),"")</f>
        <v>RICOH</v>
      </c>
      <c r="D187" s="6" t="s">
        <v>3191</v>
      </c>
      <c r="E187" s="6" t="str" cm="1">
        <f t="array" ref="E187">IF(Table15[[#This Row],[Scott Correction]]="",Table15[[#This Row],[customer_id]],_xlfn.XLOOKUP(Table15[[#This Row],[Scott Correction]],[1]!Table2[[#All],[name]],[1]!Table2[[#All],[id]],"",0,1))</f>
        <v/>
      </c>
      <c r="F187" s="9" t="s">
        <v>3915</v>
      </c>
      <c r="G187" s="9" t="s">
        <v>3916</v>
      </c>
      <c r="H187" s="9"/>
      <c r="I187" s="9" t="s">
        <v>3917</v>
      </c>
      <c r="J187" s="9"/>
      <c r="K187" s="9" t="s">
        <v>3918</v>
      </c>
      <c r="L187" s="10"/>
    </row>
    <row r="188" spans="1:12" ht="18" customHeight="1" x14ac:dyDescent="0.25">
      <c r="A188" s="4"/>
      <c r="B188" s="5">
        <v>53</v>
      </c>
      <c r="C188" s="6" t="str">
        <f>IFERROR(VLOOKUP(B188,[1]customers!$A:$B,2,0),"")</f>
        <v>Anderson International Corp</v>
      </c>
      <c r="D188" s="6" t="s">
        <v>3191</v>
      </c>
      <c r="E188" s="6" t="str" cm="1">
        <f t="array" ref="E188">IF(Table15[[#This Row],[Scott Correction]]="",Table15[[#This Row],[customer_id]],_xlfn.XLOOKUP(Table15[[#This Row],[Scott Correction]],[1]!Table2[[#All],[name]],[1]!Table2[[#All],[id]],"",0,1))</f>
        <v/>
      </c>
      <c r="F188" s="5" t="s">
        <v>3919</v>
      </c>
      <c r="G188" s="5" t="s">
        <v>3920</v>
      </c>
      <c r="H188" s="5"/>
      <c r="I188" s="5" t="s">
        <v>3921</v>
      </c>
      <c r="J188" s="5"/>
      <c r="K188" s="5" t="s">
        <v>3922</v>
      </c>
      <c r="L188" s="7"/>
    </row>
    <row r="189" spans="1:12" ht="18" customHeight="1" x14ac:dyDescent="0.25">
      <c r="A189" s="4"/>
      <c r="B189" s="5">
        <v>121</v>
      </c>
      <c r="C189" s="6" t="str">
        <f>IFERROR(VLOOKUP(B189,[1]customers!$A:$B,2,0),"")</f>
        <v>Caliber Mold &amp; Machine, Inc</v>
      </c>
      <c r="D189" s="6" t="s">
        <v>3191</v>
      </c>
      <c r="E189" s="6" t="str" cm="1">
        <f t="array" ref="E189">IF(Table15[[#This Row],[Scott Correction]]="",Table15[[#This Row],[customer_id]],_xlfn.XLOOKUP(Table15[[#This Row],[Scott Correction]],[1]!Table2[[#All],[name]],[1]!Table2[[#All],[id]],"",0,1))</f>
        <v/>
      </c>
      <c r="F189" s="5" t="s">
        <v>3923</v>
      </c>
      <c r="G189" s="5" t="s">
        <v>3924</v>
      </c>
      <c r="H189" s="5"/>
      <c r="I189" s="5" t="s">
        <v>3925</v>
      </c>
      <c r="J189" s="5"/>
      <c r="K189" s="5" t="s">
        <v>3926</v>
      </c>
      <c r="L189" s="7"/>
    </row>
    <row r="190" spans="1:12" ht="18" customHeight="1" x14ac:dyDescent="0.25">
      <c r="A190" s="8"/>
      <c r="B190" s="9">
        <v>121</v>
      </c>
      <c r="C190" s="6" t="str">
        <f>IFERROR(VLOOKUP(B190,[1]customers!$A:$B,2,0),"")</f>
        <v>Caliber Mold &amp; Machine, Inc</v>
      </c>
      <c r="D190" s="6" t="s">
        <v>3191</v>
      </c>
      <c r="E190" s="6" t="str" cm="1">
        <f t="array" ref="E190">IF(Table15[[#This Row],[Scott Correction]]="",Table15[[#This Row],[customer_id]],_xlfn.XLOOKUP(Table15[[#This Row],[Scott Correction]],[1]!Table2[[#All],[name]],[1]!Table2[[#All],[id]],"",0,1))</f>
        <v/>
      </c>
      <c r="F190" s="9" t="s">
        <v>3923</v>
      </c>
      <c r="G190" s="9" t="s">
        <v>3927</v>
      </c>
      <c r="H190" s="9"/>
      <c r="I190" s="9" t="s">
        <v>3928</v>
      </c>
      <c r="J190" s="9"/>
      <c r="K190" s="9" t="s">
        <v>3929</v>
      </c>
      <c r="L190" s="10"/>
    </row>
    <row r="191" spans="1:12" ht="18" customHeight="1" x14ac:dyDescent="0.25">
      <c r="A191" s="4"/>
      <c r="B191" s="5">
        <v>235</v>
      </c>
      <c r="C191" s="6" t="str">
        <f>IFERROR(VLOOKUP(B191,[1]customers!$A:$B,2,0),"")</f>
        <v>Equipment Trading Co</v>
      </c>
      <c r="D191" s="6" t="s">
        <v>3191</v>
      </c>
      <c r="E191" s="6" t="str" cm="1">
        <f t="array" ref="E191">IF(Table15[[#This Row],[Scott Correction]]="",Table15[[#This Row],[customer_id]],_xlfn.XLOOKUP(Table15[[#This Row],[Scott Correction]],[1]!Table2[[#All],[name]],[1]!Table2[[#All],[id]],"",0,1))</f>
        <v/>
      </c>
      <c r="F191" s="5" t="s">
        <v>3930</v>
      </c>
      <c r="G191" s="5" t="s">
        <v>3931</v>
      </c>
      <c r="H191" s="5"/>
      <c r="I191" s="5" t="s">
        <v>3932</v>
      </c>
      <c r="J191" s="5"/>
      <c r="K191" s="5" t="s">
        <v>3933</v>
      </c>
      <c r="L191" s="7"/>
    </row>
    <row r="192" spans="1:12" ht="18" customHeight="1" x14ac:dyDescent="0.25">
      <c r="A192" s="12"/>
      <c r="B192" s="11" t="s">
        <v>3190</v>
      </c>
      <c r="C192" s="11" t="str">
        <f>IFERROR(VLOOKUP(B192,[1]customers!$A:$B,2,0),"")</f>
        <v/>
      </c>
      <c r="D192" s="11" t="s">
        <v>3191</v>
      </c>
      <c r="E192" s="11" t="str" cm="1">
        <f t="array" ref="E192">IF(Table15[[#This Row],[Scott Correction]]="",Table15[[#This Row],[customer_id]],_xlfn.XLOOKUP(Table15[[#This Row],[Scott Correction]],[1]!Table2[[#All],[name]],[1]!Table2[[#All],[id]],"",0,1))</f>
        <v/>
      </c>
      <c r="F192" s="11" t="s">
        <v>3934</v>
      </c>
      <c r="G192" s="11" t="s">
        <v>3935</v>
      </c>
      <c r="H192" s="11"/>
      <c r="I192" s="11" t="s">
        <v>3936</v>
      </c>
      <c r="J192" s="11"/>
      <c r="K192" s="11" t="s">
        <v>3937</v>
      </c>
      <c r="L192" s="13"/>
    </row>
    <row r="193" spans="1:12" ht="18" customHeight="1" x14ac:dyDescent="0.25">
      <c r="A193" s="12"/>
      <c r="B193" s="11" t="s">
        <v>3190</v>
      </c>
      <c r="C193" s="11" t="str">
        <f>IFERROR(VLOOKUP(B193,[1]customers!$A:$B,2,0),"")</f>
        <v/>
      </c>
      <c r="D193" s="11" t="s">
        <v>3191</v>
      </c>
      <c r="E193" s="11" t="str" cm="1">
        <f t="array" ref="E193">IF(Table15[[#This Row],[Scott Correction]]="",Table15[[#This Row],[customer_id]],_xlfn.XLOOKUP(Table15[[#This Row],[Scott Correction]],[1]!Table2[[#All],[name]],[1]!Table2[[#All],[id]],"",0,1))</f>
        <v/>
      </c>
      <c r="F193" s="11" t="s">
        <v>3938</v>
      </c>
      <c r="G193" s="11" t="s">
        <v>3939</v>
      </c>
      <c r="H193" s="11"/>
      <c r="I193" s="11"/>
      <c r="J193" s="11"/>
      <c r="K193" s="11" t="s">
        <v>3940</v>
      </c>
      <c r="L193" s="13"/>
    </row>
    <row r="194" spans="1:12" ht="18" customHeight="1" x14ac:dyDescent="0.25">
      <c r="A194" s="12"/>
      <c r="B194" s="11" t="s">
        <v>3190</v>
      </c>
      <c r="C194" s="11" t="str">
        <f>IFERROR(VLOOKUP(B194,[1]customers!$A:$B,2,0),"")</f>
        <v/>
      </c>
      <c r="D194" s="11" t="s">
        <v>3191</v>
      </c>
      <c r="E194" s="11" t="str" cm="1">
        <f t="array" ref="E194">IF(Table15[[#This Row],[Scott Correction]]="",Table15[[#This Row],[customer_id]],_xlfn.XLOOKUP(Table15[[#This Row],[Scott Correction]],[1]!Table2[[#All],[name]],[1]!Table2[[#All],[id]],"",0,1))</f>
        <v/>
      </c>
      <c r="F194" s="11" t="s">
        <v>3941</v>
      </c>
      <c r="G194" s="11" t="s">
        <v>3942</v>
      </c>
      <c r="H194" s="11"/>
      <c r="I194" s="11" t="s">
        <v>3943</v>
      </c>
      <c r="J194" s="11"/>
      <c r="K194" s="11" t="s">
        <v>3944</v>
      </c>
      <c r="L194" s="13"/>
    </row>
    <row r="195" spans="1:12" ht="18" customHeight="1" x14ac:dyDescent="0.25">
      <c r="A195" s="12"/>
      <c r="B195" s="11" t="s">
        <v>3190</v>
      </c>
      <c r="C195" s="11" t="str">
        <f>IFERROR(VLOOKUP(B195,[1]customers!$A:$B,2,0),"")</f>
        <v/>
      </c>
      <c r="D195" s="11" t="s">
        <v>3191</v>
      </c>
      <c r="E195" s="11" t="str" cm="1">
        <f t="array" ref="E195">IF(Table15[[#This Row],[Scott Correction]]="",Table15[[#This Row],[customer_id]],_xlfn.XLOOKUP(Table15[[#This Row],[Scott Correction]],[1]!Table2[[#All],[name]],[1]!Table2[[#All],[id]],"",0,1))</f>
        <v/>
      </c>
      <c r="F195" s="11" t="s">
        <v>3945</v>
      </c>
      <c r="G195" s="11" t="s">
        <v>3946</v>
      </c>
      <c r="H195" s="11"/>
      <c r="I195" s="11" t="s">
        <v>3947</v>
      </c>
      <c r="J195" s="11"/>
      <c r="K195" s="11" t="s">
        <v>3948</v>
      </c>
      <c r="L195" s="13"/>
    </row>
    <row r="196" spans="1:12" ht="18" customHeight="1" x14ac:dyDescent="0.25">
      <c r="A196" s="4"/>
      <c r="B196" s="5">
        <v>2</v>
      </c>
      <c r="C196" s="6" t="str">
        <f>IFERROR(VLOOKUP(B196,[1]customers!$A:$B,2,0),"")</f>
        <v>A &amp; B Metal Recycling</v>
      </c>
      <c r="D196" s="6" t="s">
        <v>3191</v>
      </c>
      <c r="E196" s="6" t="str" cm="1">
        <f t="array" ref="E196">IF(Table15[[#This Row],[Scott Correction]]="",Table15[[#This Row],[customer_id]],_xlfn.XLOOKUP(Table15[[#This Row],[Scott Correction]],[1]!Table2[[#All],[name]],[1]!Table2[[#All],[id]],"",0,1))</f>
        <v/>
      </c>
      <c r="F196" s="5" t="s">
        <v>3949</v>
      </c>
      <c r="G196" s="5" t="s">
        <v>3950</v>
      </c>
      <c r="H196" s="5"/>
      <c r="I196" s="5" t="s">
        <v>3951</v>
      </c>
      <c r="J196" s="5"/>
      <c r="K196" s="5" t="s">
        <v>3952</v>
      </c>
      <c r="L196" s="7"/>
    </row>
    <row r="197" spans="1:12" ht="18" customHeight="1" x14ac:dyDescent="0.25">
      <c r="A197" s="12"/>
      <c r="B197" s="11" t="s">
        <v>3190</v>
      </c>
      <c r="C197" s="11" t="str">
        <f>IFERROR(VLOOKUP(B197,[1]customers!$A:$B,2,0),"")</f>
        <v/>
      </c>
      <c r="D197" s="11" t="s">
        <v>3191</v>
      </c>
      <c r="E197" s="11" t="str" cm="1">
        <f t="array" ref="E197">IF(Table15[[#This Row],[Scott Correction]]="",Table15[[#This Row],[customer_id]],_xlfn.XLOOKUP(Table15[[#This Row],[Scott Correction]],[1]!Table2[[#All],[name]],[1]!Table2[[#All],[id]],"",0,1))</f>
        <v/>
      </c>
      <c r="F197" s="11" t="s">
        <v>3953</v>
      </c>
      <c r="G197" s="11" t="s">
        <v>3954</v>
      </c>
      <c r="H197" s="11"/>
      <c r="I197" s="11" t="s">
        <v>3955</v>
      </c>
      <c r="J197" s="11" t="s">
        <v>3956</v>
      </c>
      <c r="K197" s="11" t="s">
        <v>3957</v>
      </c>
      <c r="L197" s="13"/>
    </row>
    <row r="198" spans="1:12" ht="18" customHeight="1" x14ac:dyDescent="0.25">
      <c r="A198" s="12"/>
      <c r="B198" s="11" t="s">
        <v>3190</v>
      </c>
      <c r="C198" s="11" t="str">
        <f>IFERROR(VLOOKUP(B198,[1]customers!$A:$B,2,0),"")</f>
        <v/>
      </c>
      <c r="D198" s="11" t="s">
        <v>3191</v>
      </c>
      <c r="E198" s="11" t="str" cm="1">
        <f t="array" ref="E198">IF(Table15[[#This Row],[Scott Correction]]="",Table15[[#This Row],[customer_id]],_xlfn.XLOOKUP(Table15[[#This Row],[Scott Correction]],[1]!Table2[[#All],[name]],[1]!Table2[[#All],[id]],"",0,1))</f>
        <v/>
      </c>
      <c r="F198" s="11" t="s">
        <v>3953</v>
      </c>
      <c r="G198" s="11" t="s">
        <v>3958</v>
      </c>
      <c r="H198" s="11"/>
      <c r="I198" s="11"/>
      <c r="J198" s="11"/>
      <c r="K198" s="11" t="s">
        <v>3959</v>
      </c>
      <c r="L198" s="13"/>
    </row>
    <row r="199" spans="1:12" ht="18" customHeight="1" x14ac:dyDescent="0.25">
      <c r="A199" s="4"/>
      <c r="B199" s="5">
        <v>214</v>
      </c>
      <c r="C199" s="6" t="str">
        <f>IFERROR(VLOOKUP(B199,[1]customers!$A:$B,2,0),"")</f>
        <v>Eaton Corporation</v>
      </c>
      <c r="D199" s="6" t="s">
        <v>3191</v>
      </c>
      <c r="E199" s="6" t="str" cm="1">
        <f t="array" ref="E199">IF(Table15[[#This Row],[Scott Correction]]="",Table15[[#This Row],[customer_id]],_xlfn.XLOOKUP(Table15[[#This Row],[Scott Correction]],[1]!Table2[[#All],[name]],[1]!Table2[[#All],[id]],"",0,1))</f>
        <v/>
      </c>
      <c r="F199" s="5" t="s">
        <v>3960</v>
      </c>
      <c r="G199" s="5" t="s">
        <v>3961</v>
      </c>
      <c r="H199" s="5"/>
      <c r="I199" s="5" t="s">
        <v>3962</v>
      </c>
      <c r="J199" s="5" t="s">
        <v>3963</v>
      </c>
      <c r="K199" s="5" t="s">
        <v>3964</v>
      </c>
      <c r="L199" s="7"/>
    </row>
    <row r="200" spans="1:12" ht="18" customHeight="1" x14ac:dyDescent="0.25">
      <c r="A200" s="12"/>
      <c r="B200" s="11" t="s">
        <v>3190</v>
      </c>
      <c r="C200" s="11" t="str">
        <f>IFERROR(VLOOKUP(B200,[1]customers!$A:$B,2,0),"")</f>
        <v/>
      </c>
      <c r="D200" s="11" t="s">
        <v>3191</v>
      </c>
      <c r="E200" s="11" t="str" cm="1">
        <f t="array" ref="E200">IF(Table15[[#This Row],[Scott Correction]]="",Table15[[#This Row],[customer_id]],_xlfn.XLOOKUP(Table15[[#This Row],[Scott Correction]],[1]!Table2[[#All],[name]],[1]!Table2[[#All],[id]],"",0,1))</f>
        <v/>
      </c>
      <c r="F200" s="11" t="s">
        <v>3965</v>
      </c>
      <c r="G200" s="11" t="s">
        <v>3966</v>
      </c>
      <c r="H200" s="11"/>
      <c r="I200" s="11" t="s">
        <v>3967</v>
      </c>
      <c r="J200" s="11"/>
      <c r="K200" s="11" t="s">
        <v>3968</v>
      </c>
      <c r="L200" s="13"/>
    </row>
    <row r="201" spans="1:12" ht="18" customHeight="1" x14ac:dyDescent="0.25">
      <c r="A201" s="4"/>
      <c r="B201" s="5">
        <v>242</v>
      </c>
      <c r="C201" s="6" t="str">
        <f>IFERROR(VLOOKUP(B201,[1]customers!$A:$B,2,0),"")</f>
        <v>Everett Industries</v>
      </c>
      <c r="D201" s="6" t="s">
        <v>3191</v>
      </c>
      <c r="E201" s="6" t="str" cm="1">
        <f t="array" ref="E201">IF(Table15[[#This Row],[Scott Correction]]="",Table15[[#This Row],[customer_id]],_xlfn.XLOOKUP(Table15[[#This Row],[Scott Correction]],[1]!Table2[[#All],[name]],[1]!Table2[[#All],[id]],"",0,1))</f>
        <v/>
      </c>
      <c r="F201" s="5" t="s">
        <v>3969</v>
      </c>
      <c r="G201" s="5" t="s">
        <v>3970</v>
      </c>
      <c r="H201" s="5"/>
      <c r="I201" s="5" t="s">
        <v>3971</v>
      </c>
      <c r="J201" s="5"/>
      <c r="K201" s="5" t="s">
        <v>3972</v>
      </c>
      <c r="L201" s="7"/>
    </row>
    <row r="202" spans="1:12" ht="18" customHeight="1" x14ac:dyDescent="0.25">
      <c r="A202" s="12"/>
      <c r="B202" s="11" t="s">
        <v>3190</v>
      </c>
      <c r="C202" s="11" t="str">
        <f>IFERROR(VLOOKUP(B202,[1]customers!$A:$B,2,0),"")</f>
        <v/>
      </c>
      <c r="D202" s="11" t="s">
        <v>3191</v>
      </c>
      <c r="E202" s="11" t="str" cm="1">
        <f t="array" ref="E202">IF(Table15[[#This Row],[Scott Correction]]="",Table15[[#This Row],[customer_id]],_xlfn.XLOOKUP(Table15[[#This Row],[Scott Correction]],[1]!Table2[[#All],[name]],[1]!Table2[[#All],[id]],"",0,1))</f>
        <v/>
      </c>
      <c r="F202" s="11" t="s">
        <v>3973</v>
      </c>
      <c r="G202" s="11" t="s">
        <v>3974</v>
      </c>
      <c r="H202" s="11"/>
      <c r="I202" s="11" t="s">
        <v>3975</v>
      </c>
      <c r="J202" s="11"/>
      <c r="K202" s="11" t="s">
        <v>3976</v>
      </c>
      <c r="L202" s="13"/>
    </row>
    <row r="203" spans="1:12" ht="18" customHeight="1" x14ac:dyDescent="0.25">
      <c r="A203" s="12"/>
      <c r="B203" s="11" t="s">
        <v>3190</v>
      </c>
      <c r="C203" s="11" t="str">
        <f>IFERROR(VLOOKUP(B203,[1]customers!$A:$B,2,0),"")</f>
        <v/>
      </c>
      <c r="D203" s="11" t="s">
        <v>3191</v>
      </c>
      <c r="E203" s="11" t="str" cm="1">
        <f t="array" ref="E203">IF(Table15[[#This Row],[Scott Correction]]="",Table15[[#This Row],[customer_id]],_xlfn.XLOOKUP(Table15[[#This Row],[Scott Correction]],[1]!Table2[[#All],[name]],[1]!Table2[[#All],[id]],"",0,1))</f>
        <v/>
      </c>
      <c r="F203" s="11" t="s">
        <v>3977</v>
      </c>
      <c r="G203" s="11" t="s">
        <v>3978</v>
      </c>
      <c r="H203" s="11"/>
      <c r="I203" s="11" t="s">
        <v>3979</v>
      </c>
      <c r="J203" s="11" t="s">
        <v>3980</v>
      </c>
      <c r="K203" s="11" t="s">
        <v>3981</v>
      </c>
      <c r="L203" s="13"/>
    </row>
    <row r="204" spans="1:12" ht="18" customHeight="1" x14ac:dyDescent="0.25">
      <c r="A204" s="12"/>
      <c r="B204" s="11" t="s">
        <v>3190</v>
      </c>
      <c r="C204" s="11" t="str">
        <f>IFERROR(VLOOKUP(B204,[1]customers!$A:$B,2,0),"")</f>
        <v/>
      </c>
      <c r="D204" s="11" t="s">
        <v>3191</v>
      </c>
      <c r="E204" s="11" t="str" cm="1">
        <f t="array" ref="E204">IF(Table15[[#This Row],[Scott Correction]]="",Table15[[#This Row],[customer_id]],_xlfn.XLOOKUP(Table15[[#This Row],[Scott Correction]],[1]!Table2[[#All],[name]],[1]!Table2[[#All],[id]],"",0,1))</f>
        <v/>
      </c>
      <c r="F204" s="11" t="s">
        <v>3982</v>
      </c>
      <c r="G204" s="11" t="s">
        <v>3983</v>
      </c>
      <c r="H204" s="11"/>
      <c r="I204" s="11" t="s">
        <v>3984</v>
      </c>
      <c r="J204" s="11"/>
      <c r="K204" s="11" t="s">
        <v>3985</v>
      </c>
      <c r="L204" s="13"/>
    </row>
    <row r="205" spans="1:12" ht="18" customHeight="1" x14ac:dyDescent="0.25">
      <c r="A205" s="4"/>
      <c r="B205" s="5">
        <v>408</v>
      </c>
      <c r="C205" s="6" t="str">
        <f>IFERROR(VLOOKUP(B205,[1]customers!$A:$B,2,0),"")</f>
        <v>Malco Products Inc</v>
      </c>
      <c r="D205" s="6" t="s">
        <v>3191</v>
      </c>
      <c r="E205" s="6" t="str" cm="1">
        <f t="array" ref="E205">IF(Table15[[#This Row],[Scott Correction]]="",Table15[[#This Row],[customer_id]],_xlfn.XLOOKUP(Table15[[#This Row],[Scott Correction]],[1]!Table2[[#All],[name]],[1]!Table2[[#All],[id]],"",0,1))</f>
        <v/>
      </c>
      <c r="F205" s="5" t="s">
        <v>3986</v>
      </c>
      <c r="G205" s="5" t="s">
        <v>3987</v>
      </c>
      <c r="H205" s="5"/>
      <c r="I205" s="5" t="s">
        <v>3988</v>
      </c>
      <c r="J205" s="5"/>
      <c r="K205" s="5" t="s">
        <v>3989</v>
      </c>
      <c r="L205" s="7"/>
    </row>
    <row r="206" spans="1:12" ht="18" customHeight="1" x14ac:dyDescent="0.25">
      <c r="A206" s="12"/>
      <c r="B206" s="11" t="s">
        <v>3190</v>
      </c>
      <c r="C206" s="11" t="str">
        <f>IFERROR(VLOOKUP(B206,[1]customers!$A:$B,2,0),"")</f>
        <v/>
      </c>
      <c r="D206" s="11" t="s">
        <v>3191</v>
      </c>
      <c r="E206" s="11" t="str" cm="1">
        <f t="array" ref="E206">IF(Table15[[#This Row],[Scott Correction]]="",Table15[[#This Row],[customer_id]],_xlfn.XLOOKUP(Table15[[#This Row],[Scott Correction]],[1]!Table2[[#All],[name]],[1]!Table2[[#All],[id]],"",0,1))</f>
        <v/>
      </c>
      <c r="F206" s="11" t="s">
        <v>3990</v>
      </c>
      <c r="G206" s="11" t="s">
        <v>3991</v>
      </c>
      <c r="H206" s="11"/>
      <c r="I206" s="11" t="s">
        <v>3992</v>
      </c>
      <c r="J206" s="11"/>
      <c r="K206" s="11" t="s">
        <v>3993</v>
      </c>
      <c r="L206" s="13"/>
    </row>
    <row r="207" spans="1:12" ht="18" customHeight="1" x14ac:dyDescent="0.25">
      <c r="A207" s="12"/>
      <c r="B207" s="11" t="s">
        <v>3190</v>
      </c>
      <c r="C207" s="11" t="str">
        <f>IFERROR(VLOOKUP(B207,[1]customers!$A:$B,2,0),"")</f>
        <v/>
      </c>
      <c r="D207" s="11" t="s">
        <v>3191</v>
      </c>
      <c r="E207" s="11" t="str" cm="1">
        <f t="array" ref="E207">IF(Table15[[#This Row],[Scott Correction]]="",Table15[[#This Row],[customer_id]],_xlfn.XLOOKUP(Table15[[#This Row],[Scott Correction]],[1]!Table2[[#All],[name]],[1]!Table2[[#All],[id]],"",0,1))</f>
        <v/>
      </c>
      <c r="F207" s="11" t="s">
        <v>3994</v>
      </c>
      <c r="G207" s="11" t="s">
        <v>3995</v>
      </c>
      <c r="H207" s="11"/>
      <c r="I207" s="11" t="s">
        <v>3996</v>
      </c>
      <c r="J207" s="11" t="s">
        <v>3997</v>
      </c>
      <c r="K207" s="11" t="s">
        <v>3998</v>
      </c>
      <c r="L207" s="13"/>
    </row>
    <row r="208" spans="1:12" ht="18" customHeight="1" x14ac:dyDescent="0.25">
      <c r="A208" s="12"/>
      <c r="B208" s="11" t="s">
        <v>3190</v>
      </c>
      <c r="C208" s="11" t="str">
        <f>IFERROR(VLOOKUP(B208,[1]customers!$A:$B,2,0),"")</f>
        <v/>
      </c>
      <c r="D208" s="11" t="s">
        <v>3191</v>
      </c>
      <c r="E208" s="11" t="str" cm="1">
        <f t="array" ref="E208">IF(Table15[[#This Row],[Scott Correction]]="",Table15[[#This Row],[customer_id]],_xlfn.XLOOKUP(Table15[[#This Row],[Scott Correction]],[1]!Table2[[#All],[name]],[1]!Table2[[#All],[id]],"",0,1))</f>
        <v/>
      </c>
      <c r="F208" s="11" t="s">
        <v>3999</v>
      </c>
      <c r="G208" s="11" t="s">
        <v>4000</v>
      </c>
      <c r="H208" s="11"/>
      <c r="I208" s="11" t="s">
        <v>4001</v>
      </c>
      <c r="J208" s="11"/>
      <c r="K208" s="11" t="s">
        <v>4002</v>
      </c>
      <c r="L208" s="13"/>
    </row>
    <row r="209" spans="1:12" ht="18" customHeight="1" x14ac:dyDescent="0.25">
      <c r="A209" s="12"/>
      <c r="B209" s="11" t="s">
        <v>3190</v>
      </c>
      <c r="C209" s="11" t="str">
        <f>IFERROR(VLOOKUP(B209,[1]customers!$A:$B,2,0),"")</f>
        <v/>
      </c>
      <c r="D209" s="11" t="s">
        <v>3191</v>
      </c>
      <c r="E209" s="11" t="str" cm="1">
        <f t="array" ref="E209">IF(Table15[[#This Row],[Scott Correction]]="",Table15[[#This Row],[customer_id]],_xlfn.XLOOKUP(Table15[[#This Row],[Scott Correction]],[1]!Table2[[#All],[name]],[1]!Table2[[#All],[id]],"",0,1))</f>
        <v/>
      </c>
      <c r="F209" s="11" t="s">
        <v>4003</v>
      </c>
      <c r="G209" s="11" t="s">
        <v>4004</v>
      </c>
      <c r="H209" s="11"/>
      <c r="I209" s="11" t="s">
        <v>4005</v>
      </c>
      <c r="J209" s="11" t="s">
        <v>4006</v>
      </c>
      <c r="K209" s="11" t="s">
        <v>4007</v>
      </c>
      <c r="L209" s="13"/>
    </row>
    <row r="210" spans="1:12" ht="18" customHeight="1" x14ac:dyDescent="0.25">
      <c r="A210" s="8"/>
      <c r="B210" s="9">
        <v>308</v>
      </c>
      <c r="C210" s="6" t="str">
        <f>IFERROR(VLOOKUP(B210,[1]customers!$A:$B,2,0),"")</f>
        <v>HB Chemical</v>
      </c>
      <c r="D210" s="6" t="s">
        <v>3191</v>
      </c>
      <c r="E210" s="6" t="str" cm="1">
        <f t="array" ref="E210">IF(Table15[[#This Row],[Scott Correction]]="",Table15[[#This Row],[customer_id]],_xlfn.XLOOKUP(Table15[[#This Row],[Scott Correction]],[1]!Table2[[#All],[name]],[1]!Table2[[#All],[id]],"",0,1))</f>
        <v/>
      </c>
      <c r="F210" s="9" t="s">
        <v>4008</v>
      </c>
      <c r="G210" s="9" t="s">
        <v>4009</v>
      </c>
      <c r="H210" s="9"/>
      <c r="I210" s="9" t="s">
        <v>4010</v>
      </c>
      <c r="J210" s="9" t="s">
        <v>4011</v>
      </c>
      <c r="K210" s="9"/>
      <c r="L210" s="10"/>
    </row>
    <row r="211" spans="1:12" ht="18" customHeight="1" x14ac:dyDescent="0.25">
      <c r="A211" s="12"/>
      <c r="B211" s="11" t="s">
        <v>3190</v>
      </c>
      <c r="C211" s="11" t="str">
        <f>IFERROR(VLOOKUP(B211,[1]customers!$A:$B,2,0),"")</f>
        <v/>
      </c>
      <c r="D211" s="11" t="s">
        <v>3191</v>
      </c>
      <c r="E211" s="11" t="str" cm="1">
        <f t="array" ref="E211">IF(Table15[[#This Row],[Scott Correction]]="",Table15[[#This Row],[customer_id]],_xlfn.XLOOKUP(Table15[[#This Row],[Scott Correction]],[1]!Table2[[#All],[name]],[1]!Table2[[#All],[id]],"",0,1))</f>
        <v/>
      </c>
      <c r="F211" s="11" t="s">
        <v>4012</v>
      </c>
      <c r="G211" s="11" t="s">
        <v>4013</v>
      </c>
      <c r="H211" s="11"/>
      <c r="I211" s="11" t="s">
        <v>4014</v>
      </c>
      <c r="J211" s="11" t="s">
        <v>4015</v>
      </c>
      <c r="K211" s="11" t="s">
        <v>4016</v>
      </c>
      <c r="L211" s="13"/>
    </row>
    <row r="212" spans="1:12" ht="18" customHeight="1" x14ac:dyDescent="0.25">
      <c r="A212" s="12"/>
      <c r="B212" s="11" t="s">
        <v>3190</v>
      </c>
      <c r="C212" s="11" t="str">
        <f>IFERROR(VLOOKUP(B212,[1]customers!$A:$B,2,0),"")</f>
        <v/>
      </c>
      <c r="D212" s="11" t="s">
        <v>3191</v>
      </c>
      <c r="E212" s="11" t="str" cm="1">
        <f t="array" ref="E212">IF(Table15[[#This Row],[Scott Correction]]="",Table15[[#This Row],[customer_id]],_xlfn.XLOOKUP(Table15[[#This Row],[Scott Correction]],[1]!Table2[[#All],[name]],[1]!Table2[[#All],[id]],"",0,1))</f>
        <v/>
      </c>
      <c r="F212" s="11" t="s">
        <v>4012</v>
      </c>
      <c r="G212" s="11" t="s">
        <v>4017</v>
      </c>
      <c r="H212" s="11"/>
      <c r="I212" s="11" t="s">
        <v>4018</v>
      </c>
      <c r="J212" s="11"/>
      <c r="K212" s="11" t="s">
        <v>4016</v>
      </c>
      <c r="L212" s="13"/>
    </row>
    <row r="213" spans="1:12" ht="18" customHeight="1" x14ac:dyDescent="0.25">
      <c r="A213" s="12"/>
      <c r="B213" s="11" t="s">
        <v>3190</v>
      </c>
      <c r="C213" s="11" t="str">
        <f>IFERROR(VLOOKUP(B213,[1]customers!$A:$B,2,0),"")</f>
        <v/>
      </c>
      <c r="D213" s="11" t="s">
        <v>3191</v>
      </c>
      <c r="E213" s="11" t="str" cm="1">
        <f t="array" ref="E213">IF(Table15[[#This Row],[Scott Correction]]="",Table15[[#This Row],[customer_id]],_xlfn.XLOOKUP(Table15[[#This Row],[Scott Correction]],[1]!Table2[[#All],[name]],[1]!Table2[[#All],[id]],"",0,1))</f>
        <v/>
      </c>
      <c r="F213" s="11" t="s">
        <v>4019</v>
      </c>
      <c r="G213" s="11" t="s">
        <v>4020</v>
      </c>
      <c r="H213" s="11"/>
      <c r="I213" s="11"/>
      <c r="J213" s="11" t="s">
        <v>4021</v>
      </c>
      <c r="K213" s="11"/>
      <c r="L213" s="13"/>
    </row>
    <row r="214" spans="1:12" ht="18" customHeight="1" x14ac:dyDescent="0.25">
      <c r="A214" s="12"/>
      <c r="B214" s="11" t="s">
        <v>3190</v>
      </c>
      <c r="C214" s="11" t="str">
        <f>IFERROR(VLOOKUP(B214,[1]customers!$A:$B,2,0),"")</f>
        <v/>
      </c>
      <c r="D214" s="11" t="s">
        <v>3191</v>
      </c>
      <c r="E214" s="11" t="str" cm="1">
        <f t="array" ref="E214">IF(Table15[[#This Row],[Scott Correction]]="",Table15[[#This Row],[customer_id]],_xlfn.XLOOKUP(Table15[[#This Row],[Scott Correction]],[1]!Table2[[#All],[name]],[1]!Table2[[#All],[id]],"",0,1))</f>
        <v/>
      </c>
      <c r="F214" s="11" t="s">
        <v>4019</v>
      </c>
      <c r="G214" s="11" t="s">
        <v>4022</v>
      </c>
      <c r="H214" s="11"/>
      <c r="I214" s="11" t="s">
        <v>4023</v>
      </c>
      <c r="J214" s="11" t="s">
        <v>4024</v>
      </c>
      <c r="K214" s="11" t="s">
        <v>4025</v>
      </c>
      <c r="L214" s="13"/>
    </row>
    <row r="215" spans="1:12" ht="18" customHeight="1" x14ac:dyDescent="0.25">
      <c r="A215" s="12"/>
      <c r="B215" s="11" t="s">
        <v>3190</v>
      </c>
      <c r="C215" s="11" t="str">
        <f>IFERROR(VLOOKUP(B215,[1]customers!$A:$B,2,0),"")</f>
        <v/>
      </c>
      <c r="D215" s="11" t="s">
        <v>3191</v>
      </c>
      <c r="E215" s="11" t="str" cm="1">
        <f t="array" ref="E215">IF(Table15[[#This Row],[Scott Correction]]="",Table15[[#This Row],[customer_id]],_xlfn.XLOOKUP(Table15[[#This Row],[Scott Correction]],[1]!Table2[[#All],[name]],[1]!Table2[[#All],[id]],"",0,1))</f>
        <v/>
      </c>
      <c r="F215" s="11" t="s">
        <v>4026</v>
      </c>
      <c r="G215" s="11" t="s">
        <v>4027</v>
      </c>
      <c r="H215" s="11"/>
      <c r="I215" s="11" t="s">
        <v>772</v>
      </c>
      <c r="J215" s="11"/>
      <c r="K215" s="11" t="s">
        <v>773</v>
      </c>
      <c r="L215" s="13"/>
    </row>
    <row r="216" spans="1:12" ht="18" customHeight="1" x14ac:dyDescent="0.25">
      <c r="A216" s="8"/>
      <c r="B216" s="9">
        <v>160</v>
      </c>
      <c r="C216" s="6" t="str">
        <f>IFERROR(VLOOKUP(B216,[1]customers!$A:$B,2,0),"")</f>
        <v>Cosar Mold Inc</v>
      </c>
      <c r="D216" s="6" t="s">
        <v>3191</v>
      </c>
      <c r="E216" s="6" t="str" cm="1">
        <f t="array" ref="E216">IF(Table15[[#This Row],[Scott Correction]]="",Table15[[#This Row],[customer_id]],_xlfn.XLOOKUP(Table15[[#This Row],[Scott Correction]],[1]!Table2[[#All],[name]],[1]!Table2[[#All],[id]],"",0,1))</f>
        <v/>
      </c>
      <c r="F216" s="9" t="s">
        <v>4028</v>
      </c>
      <c r="G216" s="9" t="s">
        <v>4029</v>
      </c>
      <c r="H216" s="9"/>
      <c r="I216" s="9" t="s">
        <v>4030</v>
      </c>
      <c r="J216" s="9" t="s">
        <v>4031</v>
      </c>
      <c r="K216" s="9" t="s">
        <v>2584</v>
      </c>
      <c r="L216" s="10"/>
    </row>
    <row r="217" spans="1:12" ht="18" customHeight="1" x14ac:dyDescent="0.25">
      <c r="A217" s="12"/>
      <c r="B217" s="11" t="s">
        <v>3190</v>
      </c>
      <c r="C217" s="11" t="str">
        <f>IFERROR(VLOOKUP(B217,[1]customers!$A:$B,2,0),"")</f>
        <v/>
      </c>
      <c r="D217" s="11" t="s">
        <v>3191</v>
      </c>
      <c r="E217" s="11" t="str" cm="1">
        <f t="array" ref="E217">IF(Table15[[#This Row],[Scott Correction]]="",Table15[[#This Row],[customer_id]],_xlfn.XLOOKUP(Table15[[#This Row],[Scott Correction]],[1]!Table2[[#All],[name]],[1]!Table2[[#All],[id]],"",0,1))</f>
        <v/>
      </c>
      <c r="F217" s="11" t="s">
        <v>4032</v>
      </c>
      <c r="G217" s="11" t="s">
        <v>4033</v>
      </c>
      <c r="H217" s="11"/>
      <c r="I217" s="11" t="s">
        <v>4034</v>
      </c>
      <c r="J217" s="11" t="s">
        <v>4035</v>
      </c>
      <c r="K217" s="11" t="s">
        <v>4036</v>
      </c>
      <c r="L217" s="13"/>
    </row>
    <row r="218" spans="1:12" ht="18" customHeight="1" x14ac:dyDescent="0.25">
      <c r="A218" s="12"/>
      <c r="B218" s="11" t="s">
        <v>3190</v>
      </c>
      <c r="C218" s="11" t="str">
        <f>IFERROR(VLOOKUP(B218,[1]customers!$A:$B,2,0),"")</f>
        <v/>
      </c>
      <c r="D218" s="11" t="s">
        <v>3191</v>
      </c>
      <c r="E218" s="11" t="str" cm="1">
        <f t="array" ref="E218">IF(Table15[[#This Row],[Scott Correction]]="",Table15[[#This Row],[customer_id]],_xlfn.XLOOKUP(Table15[[#This Row],[Scott Correction]],[1]!Table2[[#All],[name]],[1]!Table2[[#All],[id]],"",0,1))</f>
        <v/>
      </c>
      <c r="F218" s="11" t="s">
        <v>4037</v>
      </c>
      <c r="G218" s="11" t="s">
        <v>4038</v>
      </c>
      <c r="H218" s="11"/>
      <c r="I218" s="11" t="s">
        <v>4039</v>
      </c>
      <c r="J218" s="11"/>
      <c r="K218" s="11" t="s">
        <v>4040</v>
      </c>
      <c r="L218" s="13"/>
    </row>
    <row r="219" spans="1:12" ht="18" customHeight="1" x14ac:dyDescent="0.25">
      <c r="A219" s="12"/>
      <c r="B219" s="11" t="s">
        <v>3190</v>
      </c>
      <c r="C219" s="11" t="str">
        <f>IFERROR(VLOOKUP(B219,[1]customers!$A:$B,2,0),"")</f>
        <v/>
      </c>
      <c r="D219" s="11" t="s">
        <v>3191</v>
      </c>
      <c r="E219" s="11" t="str" cm="1">
        <f t="array" ref="E219">IF(Table15[[#This Row],[Scott Correction]]="",Table15[[#This Row],[customer_id]],_xlfn.XLOOKUP(Table15[[#This Row],[Scott Correction]],[1]!Table2[[#All],[name]],[1]!Table2[[#All],[id]],"",0,1))</f>
        <v/>
      </c>
      <c r="F219" s="11" t="s">
        <v>4041</v>
      </c>
      <c r="G219" s="11" t="s">
        <v>4042</v>
      </c>
      <c r="H219" s="11"/>
      <c r="I219" s="11" t="s">
        <v>4043</v>
      </c>
      <c r="J219" s="11" t="s">
        <v>4044</v>
      </c>
      <c r="K219" s="11" t="s">
        <v>4045</v>
      </c>
      <c r="L219" s="13"/>
    </row>
    <row r="220" spans="1:12" ht="18" customHeight="1" x14ac:dyDescent="0.25">
      <c r="A220" s="4"/>
      <c r="B220" s="5">
        <v>482</v>
      </c>
      <c r="C220" s="6" t="str">
        <f>IFERROR(VLOOKUP(B220,[1]customers!$A:$B,2,0),"")</f>
        <v>Orbis Corporation</v>
      </c>
      <c r="D220" s="6" t="s">
        <v>3191</v>
      </c>
      <c r="E220" s="6" t="str" cm="1">
        <f t="array" ref="E220">IF(Table15[[#This Row],[Scott Correction]]="",Table15[[#This Row],[customer_id]],_xlfn.XLOOKUP(Table15[[#This Row],[Scott Correction]],[1]!Table2[[#All],[name]],[1]!Table2[[#All],[id]],"",0,1))</f>
        <v/>
      </c>
      <c r="F220" s="5" t="s">
        <v>4046</v>
      </c>
      <c r="G220" s="5" t="s">
        <v>4047</v>
      </c>
      <c r="H220" s="5"/>
      <c r="I220" s="5" t="s">
        <v>4048</v>
      </c>
      <c r="J220" s="5"/>
      <c r="K220" s="5" t="s">
        <v>4049</v>
      </c>
      <c r="L220" s="7"/>
    </row>
    <row r="221" spans="1:12" ht="18" customHeight="1" x14ac:dyDescent="0.25">
      <c r="A221" s="12"/>
      <c r="B221" s="11" t="s">
        <v>3190</v>
      </c>
      <c r="C221" s="11" t="str">
        <f>IFERROR(VLOOKUP(B221,[1]customers!$A:$B,2,0),"")</f>
        <v/>
      </c>
      <c r="D221" s="11" t="s">
        <v>3191</v>
      </c>
      <c r="E221" s="11" t="str" cm="1">
        <f t="array" ref="E221">IF(Table15[[#This Row],[Scott Correction]]="",Table15[[#This Row],[customer_id]],_xlfn.XLOOKUP(Table15[[#This Row],[Scott Correction]],[1]!Table2[[#All],[name]],[1]!Table2[[#All],[id]],"",0,1))</f>
        <v/>
      </c>
      <c r="F221" s="11" t="s">
        <v>4050</v>
      </c>
      <c r="G221" s="11" t="s">
        <v>4051</v>
      </c>
      <c r="H221" s="11"/>
      <c r="I221" s="11" t="s">
        <v>4052</v>
      </c>
      <c r="J221" s="11"/>
      <c r="K221" s="11" t="s">
        <v>4053</v>
      </c>
      <c r="L221" s="13"/>
    </row>
    <row r="222" spans="1:12" ht="18" customHeight="1" x14ac:dyDescent="0.25">
      <c r="A222" s="12"/>
      <c r="B222" s="11" t="s">
        <v>3190</v>
      </c>
      <c r="C222" s="11" t="str">
        <f>IFERROR(VLOOKUP(B222,[1]customers!$A:$B,2,0),"")</f>
        <v/>
      </c>
      <c r="D222" s="11" t="s">
        <v>3191</v>
      </c>
      <c r="E222" s="11" t="str" cm="1">
        <f t="array" ref="E222">IF(Table15[[#This Row],[Scott Correction]]="",Table15[[#This Row],[customer_id]],_xlfn.XLOOKUP(Table15[[#This Row],[Scott Correction]],[1]!Table2[[#All],[name]],[1]!Table2[[#All],[id]],"",0,1))</f>
        <v/>
      </c>
      <c r="F222" s="11" t="s">
        <v>4054</v>
      </c>
      <c r="G222" s="11" t="s">
        <v>4055</v>
      </c>
      <c r="H222" s="11"/>
      <c r="I222" s="11" t="s">
        <v>4056</v>
      </c>
      <c r="J222" s="11"/>
      <c r="K222" s="11" t="s">
        <v>4057</v>
      </c>
      <c r="L222" s="13"/>
    </row>
    <row r="223" spans="1:12" ht="18" customHeight="1" x14ac:dyDescent="0.25">
      <c r="A223" s="12"/>
      <c r="B223" s="11" t="s">
        <v>3190</v>
      </c>
      <c r="C223" s="11" t="str">
        <f>IFERROR(VLOOKUP(B223,[1]customers!$A:$B,2,0),"")</f>
        <v/>
      </c>
      <c r="D223" s="11" t="s">
        <v>3191</v>
      </c>
      <c r="E223" s="11" t="str" cm="1">
        <f t="array" ref="E223">IF(Table15[[#This Row],[Scott Correction]]="",Table15[[#This Row],[customer_id]],_xlfn.XLOOKUP(Table15[[#This Row],[Scott Correction]],[1]!Table2[[#All],[name]],[1]!Table2[[#All],[id]],"",0,1))</f>
        <v/>
      </c>
      <c r="F223" s="11" t="s">
        <v>4054</v>
      </c>
      <c r="G223" s="11" t="s">
        <v>4058</v>
      </c>
      <c r="H223" s="11"/>
      <c r="I223" s="11"/>
      <c r="J223" s="11"/>
      <c r="K223" s="11" t="s">
        <v>4059</v>
      </c>
      <c r="L223" s="13"/>
    </row>
    <row r="224" spans="1:12" ht="18" customHeight="1" x14ac:dyDescent="0.25">
      <c r="A224" s="12"/>
      <c r="B224" s="11" t="s">
        <v>3190</v>
      </c>
      <c r="C224" s="11" t="str">
        <f>IFERROR(VLOOKUP(B224,[1]customers!$A:$B,2,0),"")</f>
        <v/>
      </c>
      <c r="D224" s="11" t="s">
        <v>3191</v>
      </c>
      <c r="E224" s="11" t="str" cm="1">
        <f t="array" ref="E224">IF(Table15[[#This Row],[Scott Correction]]="",Table15[[#This Row],[customer_id]],_xlfn.XLOOKUP(Table15[[#This Row],[Scott Correction]],[1]!Table2[[#All],[name]],[1]!Table2[[#All],[id]],"",0,1))</f>
        <v/>
      </c>
      <c r="F224" s="11" t="s">
        <v>4060</v>
      </c>
      <c r="G224" s="11" t="s">
        <v>4061</v>
      </c>
      <c r="H224" s="11"/>
      <c r="I224" s="11" t="s">
        <v>4062</v>
      </c>
      <c r="J224" s="11"/>
      <c r="K224" s="11" t="s">
        <v>4063</v>
      </c>
      <c r="L224" s="13"/>
    </row>
    <row r="225" spans="1:12" ht="18" customHeight="1" x14ac:dyDescent="0.25">
      <c r="A225" s="4"/>
      <c r="B225" s="5">
        <v>196</v>
      </c>
      <c r="C225" s="6" t="str">
        <f>IFERROR(VLOOKUP(B225,[1]customers!$A:$B,2,0),"")</f>
        <v>DK Manufacturing</v>
      </c>
      <c r="D225" s="6" t="s">
        <v>3191</v>
      </c>
      <c r="E225" s="6" t="str" cm="1">
        <f t="array" ref="E225">IF(Table15[[#This Row],[Scott Correction]]="",Table15[[#This Row],[customer_id]],_xlfn.XLOOKUP(Table15[[#This Row],[Scott Correction]],[1]!Table2[[#All],[name]],[1]!Table2[[#All],[id]],"",0,1))</f>
        <v/>
      </c>
      <c r="F225" s="5" t="s">
        <v>4064</v>
      </c>
      <c r="G225" s="5" t="s">
        <v>4065</v>
      </c>
      <c r="H225" s="5"/>
      <c r="I225" s="5"/>
      <c r="J225" s="5"/>
      <c r="K225" s="5" t="s">
        <v>4066</v>
      </c>
      <c r="L225" s="7"/>
    </row>
    <row r="226" spans="1:12" ht="18" customHeight="1" x14ac:dyDescent="0.25">
      <c r="A226" s="8"/>
      <c r="B226" s="9">
        <v>196</v>
      </c>
      <c r="C226" s="6" t="str">
        <f>IFERROR(VLOOKUP(B226,[1]customers!$A:$B,2,0),"")</f>
        <v>DK Manufacturing</v>
      </c>
      <c r="D226" s="6" t="s">
        <v>3191</v>
      </c>
      <c r="E226" s="6" t="str" cm="1">
        <f t="array" ref="E226">IF(Table15[[#This Row],[Scott Correction]]="",Table15[[#This Row],[customer_id]],_xlfn.XLOOKUP(Table15[[#This Row],[Scott Correction]],[1]!Table2[[#All],[name]],[1]!Table2[[#All],[id]],"",0,1))</f>
        <v/>
      </c>
      <c r="F226" s="9" t="s">
        <v>4064</v>
      </c>
      <c r="G226" s="9" t="s">
        <v>4067</v>
      </c>
      <c r="H226" s="9"/>
      <c r="I226" s="9" t="s">
        <v>4068</v>
      </c>
      <c r="J226" s="9" t="s">
        <v>4069</v>
      </c>
      <c r="K226" s="9" t="s">
        <v>4066</v>
      </c>
      <c r="L226" s="10"/>
    </row>
    <row r="227" spans="1:12" ht="18" customHeight="1" x14ac:dyDescent="0.25">
      <c r="A227" s="12"/>
      <c r="B227" s="11" t="s">
        <v>3190</v>
      </c>
      <c r="C227" s="11" t="str">
        <f>IFERROR(VLOOKUP(B227,[1]customers!$A:$B,2,0),"")</f>
        <v/>
      </c>
      <c r="D227" s="11" t="s">
        <v>3191</v>
      </c>
      <c r="E227" s="11" t="str" cm="1">
        <f t="array" ref="E227">IF(Table15[[#This Row],[Scott Correction]]="",Table15[[#This Row],[customer_id]],_xlfn.XLOOKUP(Table15[[#This Row],[Scott Correction]],[1]!Table2[[#All],[name]],[1]!Table2[[#All],[id]],"",0,1))</f>
        <v/>
      </c>
      <c r="F227" s="11" t="s">
        <v>4070</v>
      </c>
      <c r="G227" s="11" t="s">
        <v>4071</v>
      </c>
      <c r="H227" s="11"/>
      <c r="I227" s="11"/>
      <c r="J227" s="11"/>
      <c r="K227" s="11" t="s">
        <v>4072</v>
      </c>
      <c r="L227" s="13"/>
    </row>
    <row r="228" spans="1:12" ht="18" customHeight="1" x14ac:dyDescent="0.25">
      <c r="A228" s="4"/>
      <c r="B228" s="5">
        <v>117</v>
      </c>
      <c r="C228" s="6" t="str">
        <f>IFERROR(VLOOKUP(B228,[1]customers!$A:$B,2,0),"")</f>
        <v>C&amp;B Machine Inc</v>
      </c>
      <c r="D228" s="6" t="s">
        <v>3191</v>
      </c>
      <c r="E228" s="6" t="str" cm="1">
        <f t="array" ref="E228">IF(Table15[[#This Row],[Scott Correction]]="",Table15[[#This Row],[customer_id]],_xlfn.XLOOKUP(Table15[[#This Row],[Scott Correction]],[1]!Table2[[#All],[name]],[1]!Table2[[#All],[id]],"",0,1))</f>
        <v/>
      </c>
      <c r="F228" s="5" t="s">
        <v>4073</v>
      </c>
      <c r="G228" s="5" t="s">
        <v>4074</v>
      </c>
      <c r="H228" s="5"/>
      <c r="I228" s="5" t="s">
        <v>4075</v>
      </c>
      <c r="J228" s="5" t="s">
        <v>4076</v>
      </c>
      <c r="K228" s="5"/>
      <c r="L228" s="7"/>
    </row>
    <row r="229" spans="1:12" ht="18" customHeight="1" x14ac:dyDescent="0.25">
      <c r="A229" s="8"/>
      <c r="B229" s="9">
        <v>117</v>
      </c>
      <c r="C229" s="6" t="str">
        <f>IFERROR(VLOOKUP(B229,[1]customers!$A:$B,2,0),"")</f>
        <v>C&amp;B Machine Inc</v>
      </c>
      <c r="D229" s="6" t="s">
        <v>3191</v>
      </c>
      <c r="E229" s="6" t="str" cm="1">
        <f t="array" ref="E229">IF(Table15[[#This Row],[Scott Correction]]="",Table15[[#This Row],[customer_id]],_xlfn.XLOOKUP(Table15[[#This Row],[Scott Correction]],[1]!Table2[[#All],[name]],[1]!Table2[[#All],[id]],"",0,1))</f>
        <v/>
      </c>
      <c r="F229" s="9" t="s">
        <v>4073</v>
      </c>
      <c r="G229" s="9" t="s">
        <v>4077</v>
      </c>
      <c r="H229" s="9"/>
      <c r="I229" s="9" t="s">
        <v>4078</v>
      </c>
      <c r="J229" s="9"/>
      <c r="K229" s="9" t="s">
        <v>4079</v>
      </c>
      <c r="L229" s="10"/>
    </row>
    <row r="230" spans="1:12" ht="18" customHeight="1" x14ac:dyDescent="0.25">
      <c r="A230" s="12"/>
      <c r="B230" s="11" t="s">
        <v>3190</v>
      </c>
      <c r="C230" s="11" t="str">
        <f>IFERROR(VLOOKUP(B230,[1]customers!$A:$B,2,0),"")</f>
        <v/>
      </c>
      <c r="D230" s="11" t="s">
        <v>3191</v>
      </c>
      <c r="E230" s="11" t="str" cm="1">
        <f t="array" ref="E230">IF(Table15[[#This Row],[Scott Correction]]="",Table15[[#This Row],[customer_id]],_xlfn.XLOOKUP(Table15[[#This Row],[Scott Correction]],[1]!Table2[[#All],[name]],[1]!Table2[[#All],[id]],"",0,1))</f>
        <v/>
      </c>
      <c r="F230" s="11" t="s">
        <v>4080</v>
      </c>
      <c r="G230" s="11" t="s">
        <v>4081</v>
      </c>
      <c r="H230" s="11"/>
      <c r="I230" s="11"/>
      <c r="J230" s="11" t="s">
        <v>4082</v>
      </c>
      <c r="K230" s="11"/>
      <c r="L230" s="13"/>
    </row>
    <row r="231" spans="1:12" ht="18" customHeight="1" x14ac:dyDescent="0.25">
      <c r="A231" s="4"/>
      <c r="B231" s="5">
        <v>240</v>
      </c>
      <c r="C231" s="6" t="str">
        <f>IFERROR(VLOOKUP(B231,[1]customers!$A:$B,2,0),"")</f>
        <v>Evans Industries</v>
      </c>
      <c r="D231" s="6" t="s">
        <v>3191</v>
      </c>
      <c r="E231" s="6" t="str" cm="1">
        <f t="array" ref="E231">IF(Table15[[#This Row],[Scott Correction]]="",Table15[[#This Row],[customer_id]],_xlfn.XLOOKUP(Table15[[#This Row],[Scott Correction]],[1]!Table2[[#All],[name]],[1]!Table2[[#All],[id]],"",0,1))</f>
        <v/>
      </c>
      <c r="F231" s="5" t="s">
        <v>4083</v>
      </c>
      <c r="G231" s="5" t="s">
        <v>4084</v>
      </c>
      <c r="H231" s="5"/>
      <c r="I231" s="5" t="s">
        <v>4085</v>
      </c>
      <c r="J231" s="5"/>
      <c r="K231" s="5">
        <v>4195254000</v>
      </c>
      <c r="L231" s="7"/>
    </row>
    <row r="232" spans="1:12" ht="18" customHeight="1" x14ac:dyDescent="0.25">
      <c r="A232" s="12"/>
      <c r="B232" s="11" t="s">
        <v>3190</v>
      </c>
      <c r="C232" s="11" t="str">
        <f>IFERROR(VLOOKUP(B232,[1]customers!$A:$B,2,0),"")</f>
        <v/>
      </c>
      <c r="D232" s="11" t="s">
        <v>3191</v>
      </c>
      <c r="E232" s="11" t="str" cm="1">
        <f t="array" ref="E232">IF(Table15[[#This Row],[Scott Correction]]="",Table15[[#This Row],[customer_id]],_xlfn.XLOOKUP(Table15[[#This Row],[Scott Correction]],[1]!Table2[[#All],[name]],[1]!Table2[[#All],[id]],"",0,1))</f>
        <v/>
      </c>
      <c r="F232" s="11" t="s">
        <v>4086</v>
      </c>
      <c r="G232" s="11" t="s">
        <v>4087</v>
      </c>
      <c r="H232" s="11"/>
      <c r="I232" s="11" t="s">
        <v>4088</v>
      </c>
      <c r="J232" s="11"/>
      <c r="K232" s="11">
        <v>3306777774</v>
      </c>
      <c r="L232" s="13"/>
    </row>
    <row r="233" spans="1:12" ht="18" customHeight="1" x14ac:dyDescent="0.25">
      <c r="A233" s="12"/>
      <c r="B233" s="11" t="s">
        <v>3190</v>
      </c>
      <c r="C233" s="11" t="str">
        <f>IFERROR(VLOOKUP(B233,[1]customers!$A:$B,2,0),"")</f>
        <v/>
      </c>
      <c r="D233" s="11" t="s">
        <v>3191</v>
      </c>
      <c r="E233" s="11" t="str" cm="1">
        <f t="array" ref="E233">IF(Table15[[#This Row],[Scott Correction]]="",Table15[[#This Row],[customer_id]],_xlfn.XLOOKUP(Table15[[#This Row],[Scott Correction]],[1]!Table2[[#All],[name]],[1]!Table2[[#All],[id]],"",0,1))</f>
        <v/>
      </c>
      <c r="F233" s="11" t="s">
        <v>4089</v>
      </c>
      <c r="G233" s="11" t="s">
        <v>4090</v>
      </c>
      <c r="H233" s="11"/>
      <c r="I233" s="11" t="s">
        <v>4091</v>
      </c>
      <c r="J233" s="11" t="s">
        <v>4092</v>
      </c>
      <c r="K233" s="11"/>
      <c r="L233" s="13"/>
    </row>
    <row r="234" spans="1:12" ht="18" customHeight="1" x14ac:dyDescent="0.25">
      <c r="A234" s="12"/>
      <c r="B234" s="11" t="s">
        <v>3190</v>
      </c>
      <c r="C234" s="11" t="str">
        <f>IFERROR(VLOOKUP(B234,[1]customers!$A:$B,2,0),"")</f>
        <v/>
      </c>
      <c r="D234" s="11" t="s">
        <v>3191</v>
      </c>
      <c r="E234" s="11" t="str" cm="1">
        <f t="array" ref="E234">IF(Table15[[#This Row],[Scott Correction]]="",Table15[[#This Row],[customer_id]],_xlfn.XLOOKUP(Table15[[#This Row],[Scott Correction]],[1]!Table2[[#All],[name]],[1]!Table2[[#All],[id]],"",0,1))</f>
        <v/>
      </c>
      <c r="F234" s="11" t="s">
        <v>4089</v>
      </c>
      <c r="G234" s="11" t="s">
        <v>4093</v>
      </c>
      <c r="H234" s="11"/>
      <c r="I234" s="11" t="s">
        <v>4094</v>
      </c>
      <c r="J234" s="11"/>
      <c r="K234" s="11" t="s">
        <v>4095</v>
      </c>
      <c r="L234" s="13"/>
    </row>
    <row r="235" spans="1:12" ht="18" customHeight="1" x14ac:dyDescent="0.25">
      <c r="A235" s="12"/>
      <c r="B235" s="11" t="s">
        <v>3190</v>
      </c>
      <c r="C235" s="11" t="str">
        <f>IFERROR(VLOOKUP(B235,[1]customers!$A:$B,2,0),"")</f>
        <v/>
      </c>
      <c r="D235" s="11" t="s">
        <v>3191</v>
      </c>
      <c r="E235" s="11" t="str" cm="1">
        <f t="array" ref="E235">IF(Table15[[#This Row],[Scott Correction]]="",Table15[[#This Row],[customer_id]],_xlfn.XLOOKUP(Table15[[#This Row],[Scott Correction]],[1]!Table2[[#All],[name]],[1]!Table2[[#All],[id]],"",0,1))</f>
        <v/>
      </c>
      <c r="F235" s="11" t="s">
        <v>4089</v>
      </c>
      <c r="G235" s="11" t="s">
        <v>4096</v>
      </c>
      <c r="H235" s="11"/>
      <c r="I235" s="11" t="s">
        <v>4097</v>
      </c>
      <c r="J235" s="11"/>
      <c r="K235" s="11"/>
      <c r="L235" s="13"/>
    </row>
    <row r="236" spans="1:12" ht="18" customHeight="1" x14ac:dyDescent="0.25">
      <c r="A236" s="12"/>
      <c r="B236" s="11" t="s">
        <v>3190</v>
      </c>
      <c r="C236" s="11" t="str">
        <f>IFERROR(VLOOKUP(B236,[1]customers!$A:$B,2,0),"")</f>
        <v/>
      </c>
      <c r="D236" s="11" t="s">
        <v>3191</v>
      </c>
      <c r="E236" s="11" t="str" cm="1">
        <f t="array" ref="E236">IF(Table15[[#This Row],[Scott Correction]]="",Table15[[#This Row],[customer_id]],_xlfn.XLOOKUP(Table15[[#This Row],[Scott Correction]],[1]!Table2[[#All],[name]],[1]!Table2[[#All],[id]],"",0,1))</f>
        <v/>
      </c>
      <c r="F236" s="11" t="s">
        <v>4089</v>
      </c>
      <c r="G236" s="11" t="s">
        <v>4098</v>
      </c>
      <c r="H236" s="11"/>
      <c r="I236" s="11"/>
      <c r="J236" s="11" t="s">
        <v>4099</v>
      </c>
      <c r="K236" s="11" t="s">
        <v>4100</v>
      </c>
      <c r="L236" s="13"/>
    </row>
    <row r="237" spans="1:12" ht="18" customHeight="1" x14ac:dyDescent="0.25">
      <c r="A237" s="12"/>
      <c r="B237" s="11" t="s">
        <v>3190</v>
      </c>
      <c r="C237" s="11" t="str">
        <f>IFERROR(VLOOKUP(B237,[1]customers!$A:$B,2,0),"")</f>
        <v/>
      </c>
      <c r="D237" s="11" t="s">
        <v>3191</v>
      </c>
      <c r="E237" s="11" t="str" cm="1">
        <f t="array" ref="E237">IF(Table15[[#This Row],[Scott Correction]]="",Table15[[#This Row],[customer_id]],_xlfn.XLOOKUP(Table15[[#This Row],[Scott Correction]],[1]!Table2[[#All],[name]],[1]!Table2[[#All],[id]],"",0,1))</f>
        <v/>
      </c>
      <c r="F237" s="11" t="s">
        <v>4089</v>
      </c>
      <c r="G237" s="11" t="s">
        <v>4101</v>
      </c>
      <c r="H237" s="11"/>
      <c r="I237" s="11"/>
      <c r="J237" s="11" t="s">
        <v>4102</v>
      </c>
      <c r="K237" s="11"/>
      <c r="L237" s="13"/>
    </row>
    <row r="238" spans="1:12" ht="18" customHeight="1" x14ac:dyDescent="0.25">
      <c r="A238" s="12"/>
      <c r="B238" s="11" t="s">
        <v>3190</v>
      </c>
      <c r="C238" s="11" t="str">
        <f>IFERROR(VLOOKUP(B238,[1]customers!$A:$B,2,0),"")</f>
        <v/>
      </c>
      <c r="D238" s="11" t="s">
        <v>3191</v>
      </c>
      <c r="E238" s="11" t="str" cm="1">
        <f t="array" ref="E238">IF(Table15[[#This Row],[Scott Correction]]="",Table15[[#This Row],[customer_id]],_xlfn.XLOOKUP(Table15[[#This Row],[Scott Correction]],[1]!Table2[[#All],[name]],[1]!Table2[[#All],[id]],"",0,1))</f>
        <v/>
      </c>
      <c r="F238" s="11" t="s">
        <v>4089</v>
      </c>
      <c r="G238" s="11" t="s">
        <v>4103</v>
      </c>
      <c r="H238" s="11"/>
      <c r="I238" s="11"/>
      <c r="J238" s="11" t="s">
        <v>4104</v>
      </c>
      <c r="K238" s="11" t="s">
        <v>4105</v>
      </c>
      <c r="L238" s="13"/>
    </row>
    <row r="239" spans="1:12" ht="18" customHeight="1" x14ac:dyDescent="0.25">
      <c r="A239" s="4"/>
      <c r="B239" s="5">
        <v>121</v>
      </c>
      <c r="C239" s="6" t="str">
        <f>IFERROR(VLOOKUP(B239,[1]customers!$A:$B,2,0),"")</f>
        <v>Caliber Mold &amp; Machine, Inc</v>
      </c>
      <c r="D239" s="6" t="s">
        <v>3191</v>
      </c>
      <c r="E239" s="6" t="str" cm="1">
        <f t="array" ref="E239">IF(Table15[[#This Row],[Scott Correction]]="",Table15[[#This Row],[customer_id]],_xlfn.XLOOKUP(Table15[[#This Row],[Scott Correction]],[1]!Table2[[#All],[name]],[1]!Table2[[#All],[id]],"",0,1))</f>
        <v/>
      </c>
      <c r="F239" s="5" t="s">
        <v>4106</v>
      </c>
      <c r="G239" s="5" t="s">
        <v>4107</v>
      </c>
      <c r="H239" s="5"/>
      <c r="I239" s="5" t="s">
        <v>4108</v>
      </c>
      <c r="J239" s="5"/>
      <c r="K239" s="5" t="s">
        <v>4109</v>
      </c>
      <c r="L239" s="7"/>
    </row>
    <row r="240" spans="1:12" ht="18" customHeight="1" x14ac:dyDescent="0.25">
      <c r="A240" s="8"/>
      <c r="B240" s="9">
        <v>223</v>
      </c>
      <c r="C240" s="6" t="str">
        <f>IFERROR(VLOOKUP(B240,[1]customers!$A:$B,2,0),"")</f>
        <v>Emerald Machinery Corp</v>
      </c>
      <c r="D240" s="6" t="s">
        <v>3191</v>
      </c>
      <c r="E240" s="6" t="str" cm="1">
        <f t="array" ref="E240">IF(Table15[[#This Row],[Scott Correction]]="",Table15[[#This Row],[customer_id]],_xlfn.XLOOKUP(Table15[[#This Row],[Scott Correction]],[1]!Table2[[#All],[name]],[1]!Table2[[#All],[id]],"",0,1))</f>
        <v/>
      </c>
      <c r="F240" s="9" t="s">
        <v>4110</v>
      </c>
      <c r="G240" s="9" t="s">
        <v>4111</v>
      </c>
      <c r="H240" s="9"/>
      <c r="I240" s="9" t="s">
        <v>4112</v>
      </c>
      <c r="J240" s="9"/>
      <c r="K240" s="9" t="s">
        <v>4113</v>
      </c>
      <c r="L240" s="10"/>
    </row>
    <row r="241" spans="1:12" ht="18" customHeight="1" x14ac:dyDescent="0.25">
      <c r="A241" s="4"/>
      <c r="B241" s="5">
        <v>89</v>
      </c>
      <c r="C241" s="6" t="str">
        <f>IFERROR(VLOOKUP(B241,[1]customers!$A:$B,2,0),"")</f>
        <v>Bemis North America</v>
      </c>
      <c r="D241" s="6" t="s">
        <v>3191</v>
      </c>
      <c r="E241" s="6" t="str" cm="1">
        <f t="array" ref="E241">IF(Table15[[#This Row],[Scott Correction]]="",Table15[[#This Row],[customer_id]],_xlfn.XLOOKUP(Table15[[#This Row],[Scott Correction]],[1]!Table2[[#All],[name]],[1]!Table2[[#All],[id]],"",0,1))</f>
        <v/>
      </c>
      <c r="F241" s="5" t="s">
        <v>4114</v>
      </c>
      <c r="G241" s="5" t="s">
        <v>4115</v>
      </c>
      <c r="H241" s="5"/>
      <c r="I241" s="5" t="s">
        <v>4116</v>
      </c>
      <c r="J241" s="5" t="s">
        <v>4117</v>
      </c>
      <c r="K241" s="5" t="s">
        <v>4118</v>
      </c>
      <c r="L241" s="7"/>
    </row>
    <row r="242" spans="1:12" ht="18" customHeight="1" x14ac:dyDescent="0.25">
      <c r="A242" s="12"/>
      <c r="B242" s="11" t="s">
        <v>3190</v>
      </c>
      <c r="C242" s="11" t="str">
        <f>IFERROR(VLOOKUP(B242,[1]customers!$A:$B,2,0),"")</f>
        <v/>
      </c>
      <c r="D242" s="11" t="s">
        <v>3191</v>
      </c>
      <c r="E242" s="11" t="str" cm="1">
        <f t="array" ref="E242">IF(Table15[[#This Row],[Scott Correction]]="",Table15[[#This Row],[customer_id]],_xlfn.XLOOKUP(Table15[[#This Row],[Scott Correction]],[1]!Table2[[#All],[name]],[1]!Table2[[#All],[id]],"",0,1))</f>
        <v/>
      </c>
      <c r="F242" s="11" t="s">
        <v>4119</v>
      </c>
      <c r="G242" s="11" t="s">
        <v>4120</v>
      </c>
      <c r="H242" s="11"/>
      <c r="I242" s="11"/>
      <c r="J242" s="11"/>
      <c r="K242" s="11" t="s">
        <v>4121</v>
      </c>
      <c r="L242" s="13"/>
    </row>
    <row r="243" spans="1:12" ht="18" customHeight="1" x14ac:dyDescent="0.25">
      <c r="A243" s="12"/>
      <c r="B243" s="11" t="s">
        <v>3190</v>
      </c>
      <c r="C243" s="11" t="str">
        <f>IFERROR(VLOOKUP(B243,[1]customers!$A:$B,2,0),"")</f>
        <v/>
      </c>
      <c r="D243" s="11" t="s">
        <v>3191</v>
      </c>
      <c r="E243" s="11" t="str" cm="1">
        <f t="array" ref="E243">IF(Table15[[#This Row],[Scott Correction]]="",Table15[[#This Row],[customer_id]],_xlfn.XLOOKUP(Table15[[#This Row],[Scott Correction]],[1]!Table2[[#All],[name]],[1]!Table2[[#All],[id]],"",0,1))</f>
        <v/>
      </c>
      <c r="F243" s="11" t="s">
        <v>4122</v>
      </c>
      <c r="G243" s="11" t="s">
        <v>4123</v>
      </c>
      <c r="H243" s="11"/>
      <c r="I243" s="11" t="s">
        <v>4124</v>
      </c>
      <c r="J243" s="11" t="s">
        <v>4125</v>
      </c>
      <c r="K243" s="11" t="s">
        <v>4126</v>
      </c>
      <c r="L243" s="13"/>
    </row>
    <row r="244" spans="1:12" ht="18" customHeight="1" x14ac:dyDescent="0.25">
      <c r="A244" s="4"/>
      <c r="B244" s="5">
        <v>294</v>
      </c>
      <c r="C244" s="6" t="str">
        <f>IFERROR(VLOOKUP(B244,[1]customers!$A:$B,2,0),"")</f>
        <v>Goodyear Tire &amp; Rubber Company</v>
      </c>
      <c r="D244" s="6" t="s">
        <v>3191</v>
      </c>
      <c r="E244" s="6" t="str" cm="1">
        <f t="array" ref="E244">IF(Table15[[#This Row],[Scott Correction]]="",Table15[[#This Row],[customer_id]],_xlfn.XLOOKUP(Table15[[#This Row],[Scott Correction]],[1]!Table2[[#All],[name]],[1]!Table2[[#All],[id]],"",0,1))</f>
        <v/>
      </c>
      <c r="F244" s="5" t="s">
        <v>4127</v>
      </c>
      <c r="G244" s="5" t="s">
        <v>4128</v>
      </c>
      <c r="H244" s="5"/>
      <c r="I244" s="5" t="s">
        <v>4129</v>
      </c>
      <c r="J244" s="5" t="s">
        <v>4130</v>
      </c>
      <c r="K244" s="5"/>
      <c r="L244" s="7"/>
    </row>
    <row r="245" spans="1:12" ht="18" customHeight="1" x14ac:dyDescent="0.25">
      <c r="A245" s="12"/>
      <c r="B245" s="11" t="s">
        <v>3190</v>
      </c>
      <c r="C245" s="11" t="str">
        <f>IFERROR(VLOOKUP(B245,[1]customers!$A:$B,2,0),"")</f>
        <v/>
      </c>
      <c r="D245" s="11" t="s">
        <v>3191</v>
      </c>
      <c r="E245" s="11" t="str" cm="1">
        <f t="array" ref="E245">IF(Table15[[#This Row],[Scott Correction]]="",Table15[[#This Row],[customer_id]],_xlfn.XLOOKUP(Table15[[#This Row],[Scott Correction]],[1]!Table2[[#All],[name]],[1]!Table2[[#All],[id]],"",0,1))</f>
        <v/>
      </c>
      <c r="F245" s="11" t="s">
        <v>4131</v>
      </c>
      <c r="G245" s="11" t="s">
        <v>4132</v>
      </c>
      <c r="H245" s="11"/>
      <c r="I245" s="11"/>
      <c r="J245" s="11"/>
      <c r="K245" s="11"/>
      <c r="L245" s="13"/>
    </row>
    <row r="246" spans="1:12" ht="18" customHeight="1" x14ac:dyDescent="0.25">
      <c r="A246" s="12"/>
      <c r="B246" s="11" t="s">
        <v>3190</v>
      </c>
      <c r="C246" s="11" t="str">
        <f>IFERROR(VLOOKUP(B246,[1]customers!$A:$B,2,0),"")</f>
        <v/>
      </c>
      <c r="D246" s="11" t="s">
        <v>3191</v>
      </c>
      <c r="E246" s="11" t="str" cm="1">
        <f t="array" ref="E246">IF(Table15[[#This Row],[Scott Correction]]="",Table15[[#This Row],[customer_id]],_xlfn.XLOOKUP(Table15[[#This Row],[Scott Correction]],[1]!Table2[[#All],[name]],[1]!Table2[[#All],[id]],"",0,1))</f>
        <v/>
      </c>
      <c r="F246" s="11" t="s">
        <v>4133</v>
      </c>
      <c r="G246" s="11" t="s">
        <v>4134</v>
      </c>
      <c r="H246" s="11"/>
      <c r="I246" s="11" t="s">
        <v>4135</v>
      </c>
      <c r="J246" s="11"/>
      <c r="K246" s="11" t="s">
        <v>4136</v>
      </c>
      <c r="L246" s="13"/>
    </row>
    <row r="247" spans="1:12" ht="18" customHeight="1" x14ac:dyDescent="0.25">
      <c r="A247" s="12"/>
      <c r="B247" s="11" t="s">
        <v>3190</v>
      </c>
      <c r="C247" s="11" t="str">
        <f>IFERROR(VLOOKUP(B247,[1]customers!$A:$B,2,0),"")</f>
        <v/>
      </c>
      <c r="D247" s="11" t="s">
        <v>3191</v>
      </c>
      <c r="E247" s="11" t="str" cm="1">
        <f t="array" ref="E247">IF(Table15[[#This Row],[Scott Correction]]="",Table15[[#This Row],[customer_id]],_xlfn.XLOOKUP(Table15[[#This Row],[Scott Correction]],[1]!Table2[[#All],[name]],[1]!Table2[[#All],[id]],"",0,1))</f>
        <v/>
      </c>
      <c r="F247" s="11" t="s">
        <v>4137</v>
      </c>
      <c r="G247" s="11" t="s">
        <v>4138</v>
      </c>
      <c r="H247" s="11"/>
      <c r="I247" s="11" t="s">
        <v>4139</v>
      </c>
      <c r="J247" s="11"/>
      <c r="K247" s="11">
        <v>5132870124</v>
      </c>
      <c r="L247" s="13"/>
    </row>
    <row r="248" spans="1:12" ht="18" customHeight="1" x14ac:dyDescent="0.25">
      <c r="A248" s="12"/>
      <c r="B248" s="11" t="s">
        <v>3190</v>
      </c>
      <c r="C248" s="11" t="str">
        <f>IFERROR(VLOOKUP(B248,[1]customers!$A:$B,2,0),"")</f>
        <v/>
      </c>
      <c r="D248" s="11" t="s">
        <v>3191</v>
      </c>
      <c r="E248" s="11" t="str" cm="1">
        <f t="array" ref="E248">IF(Table15[[#This Row],[Scott Correction]]="",Table15[[#This Row],[customer_id]],_xlfn.XLOOKUP(Table15[[#This Row],[Scott Correction]],[1]!Table2[[#All],[name]],[1]!Table2[[#All],[id]],"",0,1))</f>
        <v/>
      </c>
      <c r="F248" s="11" t="s">
        <v>4140</v>
      </c>
      <c r="G248" s="11" t="s">
        <v>4141</v>
      </c>
      <c r="H248" s="11"/>
      <c r="I248" s="11" t="s">
        <v>4142</v>
      </c>
      <c r="J248" s="11" t="s">
        <v>4143</v>
      </c>
      <c r="K248" s="11" t="s">
        <v>4144</v>
      </c>
      <c r="L248" s="13"/>
    </row>
    <row r="249" spans="1:12" ht="18" customHeight="1" x14ac:dyDescent="0.25">
      <c r="A249" s="12"/>
      <c r="B249" s="11" t="s">
        <v>3190</v>
      </c>
      <c r="C249" s="11" t="str">
        <f>IFERROR(VLOOKUP(B249,[1]customers!$A:$B,2,0),"")</f>
        <v/>
      </c>
      <c r="D249" s="11" t="s">
        <v>3191</v>
      </c>
      <c r="E249" s="11" t="str" cm="1">
        <f t="array" ref="E249">IF(Table15[[#This Row],[Scott Correction]]="",Table15[[#This Row],[customer_id]],_xlfn.XLOOKUP(Table15[[#This Row],[Scott Correction]],[1]!Table2[[#All],[name]],[1]!Table2[[#All],[id]],"",0,1))</f>
        <v/>
      </c>
      <c r="F249" s="11" t="s">
        <v>4140</v>
      </c>
      <c r="G249" s="11" t="s">
        <v>4145</v>
      </c>
      <c r="H249" s="11"/>
      <c r="I249" s="11" t="s">
        <v>4146</v>
      </c>
      <c r="J249" s="11" t="s">
        <v>4147</v>
      </c>
      <c r="K249" s="11" t="s">
        <v>4144</v>
      </c>
      <c r="L249" s="13"/>
    </row>
    <row r="250" spans="1:12" ht="18" customHeight="1" x14ac:dyDescent="0.25">
      <c r="A250" s="12"/>
      <c r="B250" s="11" t="s">
        <v>3190</v>
      </c>
      <c r="C250" s="11" t="str">
        <f>IFERROR(VLOOKUP(B250,[1]customers!$A:$B,2,0),"")</f>
        <v/>
      </c>
      <c r="D250" s="11" t="s">
        <v>3191</v>
      </c>
      <c r="E250" s="11" t="str" cm="1">
        <f t="array" ref="E250">IF(Table15[[#This Row],[Scott Correction]]="",Table15[[#This Row],[customer_id]],_xlfn.XLOOKUP(Table15[[#This Row],[Scott Correction]],[1]!Table2[[#All],[name]],[1]!Table2[[#All],[id]],"",0,1))</f>
        <v/>
      </c>
      <c r="F250" s="11" t="s">
        <v>4148</v>
      </c>
      <c r="G250" s="11" t="s">
        <v>4149</v>
      </c>
      <c r="H250" s="11"/>
      <c r="I250" s="11"/>
      <c r="J250" s="11" t="s">
        <v>4150</v>
      </c>
      <c r="K250" s="11" t="s">
        <v>4151</v>
      </c>
      <c r="L250" s="13"/>
    </row>
    <row r="251" spans="1:12" ht="18" customHeight="1" x14ac:dyDescent="0.25">
      <c r="A251" s="12"/>
      <c r="B251" s="11" t="s">
        <v>3190</v>
      </c>
      <c r="C251" s="11" t="str">
        <f>IFERROR(VLOOKUP(B251,[1]customers!$A:$B,2,0),"")</f>
        <v/>
      </c>
      <c r="D251" s="11" t="s">
        <v>3191</v>
      </c>
      <c r="E251" s="11" t="str" cm="1">
        <f t="array" ref="E251">IF(Table15[[#This Row],[Scott Correction]]="",Table15[[#This Row],[customer_id]],_xlfn.XLOOKUP(Table15[[#This Row],[Scott Correction]],[1]!Table2[[#All],[name]],[1]!Table2[[#All],[id]],"",0,1))</f>
        <v/>
      </c>
      <c r="F251" s="11" t="s">
        <v>4152</v>
      </c>
      <c r="G251" s="11" t="s">
        <v>4153</v>
      </c>
      <c r="H251" s="11"/>
      <c r="I251" s="11" t="s">
        <v>4154</v>
      </c>
      <c r="J251" s="11"/>
      <c r="K251" s="11" t="s">
        <v>4155</v>
      </c>
      <c r="L251" s="13"/>
    </row>
    <row r="252" spans="1:12" ht="18" customHeight="1" x14ac:dyDescent="0.25">
      <c r="A252" s="8"/>
      <c r="B252" s="9">
        <v>78</v>
      </c>
      <c r="C252" s="6" t="str">
        <f>IFERROR(VLOOKUP(B252,[1]customers!$A:$B,2,0),"")</f>
        <v>Baker's Pride</v>
      </c>
      <c r="D252" s="6" t="s">
        <v>3191</v>
      </c>
      <c r="E252" s="6" t="str" cm="1">
        <f t="array" ref="E252">IF(Table15[[#This Row],[Scott Correction]]="",Table15[[#This Row],[customer_id]],_xlfn.XLOOKUP(Table15[[#This Row],[Scott Correction]],[1]!Table2[[#All],[name]],[1]!Table2[[#All],[id]],"",0,1))</f>
        <v/>
      </c>
      <c r="F252" s="9" t="s">
        <v>4156</v>
      </c>
      <c r="G252" s="9" t="s">
        <v>4157</v>
      </c>
      <c r="H252" s="9"/>
      <c r="I252" s="9" t="s">
        <v>4158</v>
      </c>
      <c r="J252" s="9"/>
      <c r="K252" s="9" t="s">
        <v>4159</v>
      </c>
      <c r="L252" s="10"/>
    </row>
    <row r="253" spans="1:12" ht="18" customHeight="1" x14ac:dyDescent="0.25">
      <c r="A253" s="12"/>
      <c r="B253" s="11" t="s">
        <v>3190</v>
      </c>
      <c r="C253" s="11" t="str">
        <f>IFERROR(VLOOKUP(B253,[1]customers!$A:$B,2,0),"")</f>
        <v/>
      </c>
      <c r="D253" s="11" t="s">
        <v>3191</v>
      </c>
      <c r="E253" s="11" t="str" cm="1">
        <f t="array" ref="E253">IF(Table15[[#This Row],[Scott Correction]]="",Table15[[#This Row],[customer_id]],_xlfn.XLOOKUP(Table15[[#This Row],[Scott Correction]],[1]!Table2[[#All],[name]],[1]!Table2[[#All],[id]],"",0,1))</f>
        <v/>
      </c>
      <c r="F253" s="11" t="s">
        <v>4160</v>
      </c>
      <c r="G253" s="11" t="s">
        <v>4161</v>
      </c>
      <c r="H253" s="11"/>
      <c r="I253" s="11" t="s">
        <v>4162</v>
      </c>
      <c r="J253" s="11"/>
      <c r="K253" s="11" t="s">
        <v>4163</v>
      </c>
      <c r="L253" s="13"/>
    </row>
    <row r="254" spans="1:12" ht="18" customHeight="1" x14ac:dyDescent="0.25">
      <c r="A254" s="8"/>
      <c r="B254" s="9">
        <v>147</v>
      </c>
      <c r="C254" s="6" t="str">
        <f>IFERROR(VLOOKUP(B254,[1]customers!$A:$B,2,0),"")</f>
        <v>CLS Industrial</v>
      </c>
      <c r="D254" s="6" t="s">
        <v>3191</v>
      </c>
      <c r="E254" s="6" t="str" cm="1">
        <f t="array" ref="E254">IF(Table15[[#This Row],[Scott Correction]]="",Table15[[#This Row],[customer_id]],_xlfn.XLOOKUP(Table15[[#This Row],[Scott Correction]],[1]!Table2[[#All],[name]],[1]!Table2[[#All],[id]],"",0,1))</f>
        <v/>
      </c>
      <c r="F254" s="9" t="s">
        <v>4164</v>
      </c>
      <c r="G254" s="9" t="s">
        <v>4165</v>
      </c>
      <c r="H254" s="9"/>
      <c r="I254" s="9" t="s">
        <v>4166</v>
      </c>
      <c r="J254" s="9"/>
      <c r="K254" s="9" t="s">
        <v>4167</v>
      </c>
      <c r="L254" s="10"/>
    </row>
    <row r="255" spans="1:12" ht="18" customHeight="1" x14ac:dyDescent="0.25">
      <c r="A255" s="4"/>
      <c r="B255" s="5">
        <v>277</v>
      </c>
      <c r="C255" s="6" t="str">
        <f>IFERROR(VLOOKUP(B255,[1]customers!$A:$B,2,0),"")</f>
        <v>GCS Industrial Services, LTD</v>
      </c>
      <c r="D255" s="6" t="s">
        <v>3191</v>
      </c>
      <c r="E255" s="6" t="str" cm="1">
        <f t="array" ref="E255">IF(Table15[[#This Row],[Scott Correction]]="",Table15[[#This Row],[customer_id]],_xlfn.XLOOKUP(Table15[[#This Row],[Scott Correction]],[1]!Table2[[#All],[name]],[1]!Table2[[#All],[id]],"",0,1))</f>
        <v/>
      </c>
      <c r="F255" s="5" t="s">
        <v>4168</v>
      </c>
      <c r="G255" s="5" t="s">
        <v>4169</v>
      </c>
      <c r="H255" s="5"/>
      <c r="I255" s="5" t="s">
        <v>4170</v>
      </c>
      <c r="J255" s="5"/>
      <c r="K255" s="5" t="s">
        <v>4171</v>
      </c>
      <c r="L255" s="7"/>
    </row>
    <row r="256" spans="1:12" ht="18" customHeight="1" x14ac:dyDescent="0.25">
      <c r="A256" s="8"/>
      <c r="B256" s="9">
        <v>329</v>
      </c>
      <c r="C256" s="6" t="str">
        <f>IFERROR(VLOOKUP(B256,[1]customers!$A:$B,2,0),"")</f>
        <v>Industrial Mold and Machine</v>
      </c>
      <c r="D256" s="6" t="s">
        <v>3191</v>
      </c>
      <c r="E256" s="6" t="str" cm="1">
        <f t="array" ref="E256">IF(Table15[[#This Row],[Scott Correction]]="",Table15[[#This Row],[customer_id]],_xlfn.XLOOKUP(Table15[[#This Row],[Scott Correction]],[1]!Table2[[#All],[name]],[1]!Table2[[#All],[id]],"",0,1))</f>
        <v/>
      </c>
      <c r="F256" s="9" t="s">
        <v>4172</v>
      </c>
      <c r="G256" s="9" t="s">
        <v>4173</v>
      </c>
      <c r="H256" s="9"/>
      <c r="I256" s="9"/>
      <c r="J256" s="9"/>
      <c r="K256" s="9" t="s">
        <v>4174</v>
      </c>
      <c r="L256" s="10"/>
    </row>
    <row r="257" spans="1:12" ht="18" customHeight="1" x14ac:dyDescent="0.25">
      <c r="A257" s="4"/>
      <c r="B257" s="5">
        <v>277</v>
      </c>
      <c r="C257" s="6" t="str">
        <f>IFERROR(VLOOKUP(B257,[1]customers!$A:$B,2,0),"")</f>
        <v>GCS Industrial Services, LTD</v>
      </c>
      <c r="D257" s="6" t="s">
        <v>3191</v>
      </c>
      <c r="E257" s="6" t="str" cm="1">
        <f t="array" ref="E257">IF(Table15[[#This Row],[Scott Correction]]="",Table15[[#This Row],[customer_id]],_xlfn.XLOOKUP(Table15[[#This Row],[Scott Correction]],[1]!Table2[[#All],[name]],[1]!Table2[[#All],[id]],"",0,1))</f>
        <v/>
      </c>
      <c r="F257" s="5" t="s">
        <v>4175</v>
      </c>
      <c r="G257" s="5" t="s">
        <v>4176</v>
      </c>
      <c r="H257" s="5"/>
      <c r="I257" s="5" t="s">
        <v>4177</v>
      </c>
      <c r="J257" s="5" t="s">
        <v>4178</v>
      </c>
      <c r="K257" s="5" t="s">
        <v>4179</v>
      </c>
      <c r="L257" s="7"/>
    </row>
    <row r="258" spans="1:12" ht="18" customHeight="1" x14ac:dyDescent="0.25">
      <c r="A258" s="8"/>
      <c r="B258" s="9">
        <v>454</v>
      </c>
      <c r="C258" s="6" t="str">
        <f>IFERROR(VLOOKUP(B258,[1]customers!$A:$B,2,0),"")</f>
        <v>NCT Technologies</v>
      </c>
      <c r="D258" s="6" t="s">
        <v>3191</v>
      </c>
      <c r="E258" s="6" t="str" cm="1">
        <f t="array" ref="E258">IF(Table15[[#This Row],[Scott Correction]]="",Table15[[#This Row],[customer_id]],_xlfn.XLOOKUP(Table15[[#This Row],[Scott Correction]],[1]!Table2[[#All],[name]],[1]!Table2[[#All],[id]],"",0,1))</f>
        <v/>
      </c>
      <c r="F258" s="9" t="s">
        <v>4180</v>
      </c>
      <c r="G258" s="9" t="s">
        <v>4181</v>
      </c>
      <c r="H258" s="9"/>
      <c r="I258" s="9" t="s">
        <v>4182</v>
      </c>
      <c r="J258" s="9" t="s">
        <v>4183</v>
      </c>
      <c r="K258" s="9" t="s">
        <v>4184</v>
      </c>
      <c r="L258" s="10"/>
    </row>
    <row r="259" spans="1:12" ht="18" customHeight="1" x14ac:dyDescent="0.25">
      <c r="A259" s="12"/>
      <c r="B259" s="11" t="s">
        <v>3190</v>
      </c>
      <c r="C259" s="11" t="str">
        <f>IFERROR(VLOOKUP(B259,[1]customers!$A:$B,2,0),"")</f>
        <v/>
      </c>
      <c r="D259" s="11" t="s">
        <v>3191</v>
      </c>
      <c r="E259" s="11" t="str" cm="1">
        <f t="array" ref="E259">IF(Table15[[#This Row],[Scott Correction]]="",Table15[[#This Row],[customer_id]],_xlfn.XLOOKUP(Table15[[#This Row],[Scott Correction]],[1]!Table2[[#All],[name]],[1]!Table2[[#All],[id]],"",0,1))</f>
        <v/>
      </c>
      <c r="F259" s="11" t="s">
        <v>4185</v>
      </c>
      <c r="G259" s="11" t="s">
        <v>4186</v>
      </c>
      <c r="H259" s="11"/>
      <c r="I259" s="11" t="s">
        <v>4187</v>
      </c>
      <c r="J259" s="11" t="s">
        <v>4188</v>
      </c>
      <c r="K259" s="11" t="s">
        <v>4189</v>
      </c>
      <c r="L259" s="13"/>
    </row>
    <row r="260" spans="1:12" ht="18" customHeight="1" x14ac:dyDescent="0.25">
      <c r="A260" s="12"/>
      <c r="B260" s="11" t="s">
        <v>3190</v>
      </c>
      <c r="C260" s="11" t="str">
        <f>IFERROR(VLOOKUP(B260,[1]customers!$A:$B,2,0),"")</f>
        <v/>
      </c>
      <c r="D260" s="11" t="s">
        <v>3191</v>
      </c>
      <c r="E260" s="11" t="str" cm="1">
        <f t="array" ref="E260">IF(Table15[[#This Row],[Scott Correction]]="",Table15[[#This Row],[customer_id]],_xlfn.XLOOKUP(Table15[[#This Row],[Scott Correction]],[1]!Table2[[#All],[name]],[1]!Table2[[#All],[id]],"",0,1))</f>
        <v/>
      </c>
      <c r="F260" s="11" t="s">
        <v>4190</v>
      </c>
      <c r="G260" s="11" t="s">
        <v>4191</v>
      </c>
      <c r="H260" s="11"/>
      <c r="I260" s="11" t="s">
        <v>4192</v>
      </c>
      <c r="J260" s="11" t="s">
        <v>4193</v>
      </c>
      <c r="K260" s="11" t="s">
        <v>4194</v>
      </c>
      <c r="L260" s="13"/>
    </row>
    <row r="261" spans="1:12" ht="18" customHeight="1" x14ac:dyDescent="0.25">
      <c r="A261" s="12"/>
      <c r="B261" s="11" t="s">
        <v>3190</v>
      </c>
      <c r="C261" s="11" t="str">
        <f>IFERROR(VLOOKUP(B261,[1]customers!$A:$B,2,0),"")</f>
        <v/>
      </c>
      <c r="D261" s="11" t="s">
        <v>3191</v>
      </c>
      <c r="E261" s="11" t="str" cm="1">
        <f t="array" ref="E261">IF(Table15[[#This Row],[Scott Correction]]="",Table15[[#This Row],[customer_id]],_xlfn.XLOOKUP(Table15[[#This Row],[Scott Correction]],[1]!Table2[[#All],[name]],[1]!Table2[[#All],[id]],"",0,1))</f>
        <v/>
      </c>
      <c r="F261" s="11" t="s">
        <v>4195</v>
      </c>
      <c r="G261" s="11" t="s">
        <v>4196</v>
      </c>
      <c r="H261" s="11"/>
      <c r="I261" s="11" t="s">
        <v>4197</v>
      </c>
      <c r="J261" s="11"/>
      <c r="K261" s="11" t="s">
        <v>4198</v>
      </c>
      <c r="L261" s="13"/>
    </row>
    <row r="262" spans="1:12" ht="18" customHeight="1" x14ac:dyDescent="0.25">
      <c r="A262" s="12"/>
      <c r="B262" s="11" t="s">
        <v>3190</v>
      </c>
      <c r="C262" s="11" t="str">
        <f>IFERROR(VLOOKUP(B262,[1]customers!$A:$B,2,0),"")</f>
        <v/>
      </c>
      <c r="D262" s="11" t="s">
        <v>3191</v>
      </c>
      <c r="E262" s="11" t="str" cm="1">
        <f t="array" ref="E262">IF(Table15[[#This Row],[Scott Correction]]="",Table15[[#This Row],[customer_id]],_xlfn.XLOOKUP(Table15[[#This Row],[Scott Correction]],[1]!Table2[[#All],[name]],[1]!Table2[[#All],[id]],"",0,1))</f>
        <v/>
      </c>
      <c r="F262" s="11" t="s">
        <v>4199</v>
      </c>
      <c r="G262" s="11" t="s">
        <v>4200</v>
      </c>
      <c r="H262" s="11"/>
      <c r="I262" s="11"/>
      <c r="J262" s="11"/>
      <c r="K262" s="11" t="s">
        <v>4201</v>
      </c>
      <c r="L262" s="13"/>
    </row>
    <row r="263" spans="1:12" ht="18" customHeight="1" x14ac:dyDescent="0.25">
      <c r="A263" s="12"/>
      <c r="B263" s="11" t="s">
        <v>3190</v>
      </c>
      <c r="C263" s="11" t="str">
        <f>IFERROR(VLOOKUP(B263,[1]customers!$A:$B,2,0),"")</f>
        <v/>
      </c>
      <c r="D263" s="11" t="s">
        <v>3191</v>
      </c>
      <c r="E263" s="11" t="str" cm="1">
        <f t="array" ref="E263">IF(Table15[[#This Row],[Scott Correction]]="",Table15[[#This Row],[customer_id]],_xlfn.XLOOKUP(Table15[[#This Row],[Scott Correction]],[1]!Table2[[#All],[name]],[1]!Table2[[#All],[id]],"",0,1))</f>
        <v/>
      </c>
      <c r="F263" s="11" t="s">
        <v>4199</v>
      </c>
      <c r="G263" s="11" t="s">
        <v>4202</v>
      </c>
      <c r="H263" s="11"/>
      <c r="I263" s="11"/>
      <c r="J263" s="11"/>
      <c r="K263" s="11" t="s">
        <v>4203</v>
      </c>
      <c r="L263" s="13"/>
    </row>
    <row r="264" spans="1:12" ht="18" customHeight="1" x14ac:dyDescent="0.25">
      <c r="A264" s="12"/>
      <c r="B264" s="11" t="s">
        <v>3190</v>
      </c>
      <c r="C264" s="11" t="str">
        <f>IFERROR(VLOOKUP(B264,[1]customers!$A:$B,2,0),"")</f>
        <v/>
      </c>
      <c r="D264" s="11" t="s">
        <v>3191</v>
      </c>
      <c r="E264" s="11" t="str" cm="1">
        <f t="array" ref="E264">IF(Table15[[#This Row],[Scott Correction]]="",Table15[[#This Row],[customer_id]],_xlfn.XLOOKUP(Table15[[#This Row],[Scott Correction]],[1]!Table2[[#All],[name]],[1]!Table2[[#All],[id]],"",0,1))</f>
        <v/>
      </c>
      <c r="F264" s="11" t="s">
        <v>4199</v>
      </c>
      <c r="G264" s="11" t="s">
        <v>4204</v>
      </c>
      <c r="H264" s="11"/>
      <c r="I264" s="11"/>
      <c r="J264" s="11"/>
      <c r="K264" s="11" t="s">
        <v>4203</v>
      </c>
      <c r="L264" s="13"/>
    </row>
    <row r="265" spans="1:12" ht="18" customHeight="1" x14ac:dyDescent="0.25">
      <c r="A265" s="12"/>
      <c r="B265" s="11" t="s">
        <v>3190</v>
      </c>
      <c r="C265" s="11" t="str">
        <f>IFERROR(VLOOKUP(B265,[1]customers!$A:$B,2,0),"")</f>
        <v/>
      </c>
      <c r="D265" s="11" t="s">
        <v>3191</v>
      </c>
      <c r="E265" s="11" t="str" cm="1">
        <f t="array" ref="E265">IF(Table15[[#This Row],[Scott Correction]]="",Table15[[#This Row],[customer_id]],_xlfn.XLOOKUP(Table15[[#This Row],[Scott Correction]],[1]!Table2[[#All],[name]],[1]!Table2[[#All],[id]],"",0,1))</f>
        <v/>
      </c>
      <c r="F265" s="11" t="s">
        <v>4199</v>
      </c>
      <c r="G265" s="11" t="s">
        <v>4205</v>
      </c>
      <c r="H265" s="11"/>
      <c r="I265" s="11"/>
      <c r="J265" s="11"/>
      <c r="K265" s="11" t="s">
        <v>4206</v>
      </c>
      <c r="L265" s="13"/>
    </row>
    <row r="266" spans="1:12" ht="18" customHeight="1" x14ac:dyDescent="0.25">
      <c r="A266" s="12"/>
      <c r="B266" s="11" t="s">
        <v>3190</v>
      </c>
      <c r="C266" s="11" t="str">
        <f>IFERROR(VLOOKUP(B266,[1]customers!$A:$B,2,0),"")</f>
        <v/>
      </c>
      <c r="D266" s="11" t="s">
        <v>3191</v>
      </c>
      <c r="E266" s="11" t="str" cm="1">
        <f t="array" ref="E266">IF(Table15[[#This Row],[Scott Correction]]="",Table15[[#This Row],[customer_id]],_xlfn.XLOOKUP(Table15[[#This Row],[Scott Correction]],[1]!Table2[[#All],[name]],[1]!Table2[[#All],[id]],"",0,1))</f>
        <v/>
      </c>
      <c r="F266" s="11" t="s">
        <v>4207</v>
      </c>
      <c r="G266" s="11" t="s">
        <v>4208</v>
      </c>
      <c r="H266" s="11"/>
      <c r="I266" s="11" t="s">
        <v>4209</v>
      </c>
      <c r="J266" s="11" t="s">
        <v>4210</v>
      </c>
      <c r="K266" s="11"/>
      <c r="L266" s="13"/>
    </row>
    <row r="267" spans="1:12" ht="18" customHeight="1" x14ac:dyDescent="0.25">
      <c r="A267" s="12"/>
      <c r="B267" s="11" t="s">
        <v>3190</v>
      </c>
      <c r="C267" s="11" t="str">
        <f>IFERROR(VLOOKUP(B267,[1]customers!$A:$B,2,0),"")</f>
        <v/>
      </c>
      <c r="D267" s="11" t="s">
        <v>3191</v>
      </c>
      <c r="E267" s="11" t="str" cm="1">
        <f t="array" ref="E267">IF(Table15[[#This Row],[Scott Correction]]="",Table15[[#This Row],[customer_id]],_xlfn.XLOOKUP(Table15[[#This Row],[Scott Correction]],[1]!Table2[[#All],[name]],[1]!Table2[[#All],[id]],"",0,1))</f>
        <v/>
      </c>
      <c r="F267" s="11" t="s">
        <v>4211</v>
      </c>
      <c r="G267" s="11" t="s">
        <v>4212</v>
      </c>
      <c r="H267" s="11"/>
      <c r="I267" s="11"/>
      <c r="J267" s="11"/>
      <c r="K267" s="11" t="s">
        <v>4213</v>
      </c>
      <c r="L267" s="13"/>
    </row>
    <row r="268" spans="1:12" ht="18" customHeight="1" x14ac:dyDescent="0.25">
      <c r="A268" s="12"/>
      <c r="B268" s="11" t="s">
        <v>3190</v>
      </c>
      <c r="C268" s="11" t="str">
        <f>IFERROR(VLOOKUP(B268,[1]customers!$A:$B,2,0),"")</f>
        <v/>
      </c>
      <c r="D268" s="11" t="s">
        <v>3191</v>
      </c>
      <c r="E268" s="11" t="str" cm="1">
        <f t="array" ref="E268">IF(Table15[[#This Row],[Scott Correction]]="",Table15[[#This Row],[customer_id]],_xlfn.XLOOKUP(Table15[[#This Row],[Scott Correction]],[1]!Table2[[#All],[name]],[1]!Table2[[#All],[id]],"",0,1))</f>
        <v/>
      </c>
      <c r="F268" s="11" t="s">
        <v>4214</v>
      </c>
      <c r="G268" s="11" t="s">
        <v>4215</v>
      </c>
      <c r="H268" s="11"/>
      <c r="I268" s="11" t="s">
        <v>4216</v>
      </c>
      <c r="J268" s="11" t="s">
        <v>4217</v>
      </c>
      <c r="K268" s="11"/>
      <c r="L268" s="13"/>
    </row>
    <row r="269" spans="1:12" ht="18" customHeight="1" x14ac:dyDescent="0.25">
      <c r="A269" s="12"/>
      <c r="B269" s="11" t="s">
        <v>3190</v>
      </c>
      <c r="C269" s="11" t="str">
        <f>IFERROR(VLOOKUP(B269,[1]customers!$A:$B,2,0),"")</f>
        <v/>
      </c>
      <c r="D269" s="11" t="s">
        <v>3191</v>
      </c>
      <c r="E269" s="11" t="str" cm="1">
        <f t="array" ref="E269">IF(Table15[[#This Row],[Scott Correction]]="",Table15[[#This Row],[customer_id]],_xlfn.XLOOKUP(Table15[[#This Row],[Scott Correction]],[1]!Table2[[#All],[name]],[1]!Table2[[#All],[id]],"",0,1))</f>
        <v/>
      </c>
      <c r="F269" s="11" t="s">
        <v>4218</v>
      </c>
      <c r="G269" s="11" t="s">
        <v>4219</v>
      </c>
      <c r="H269" s="11"/>
      <c r="I269" s="11"/>
      <c r="J269" s="11"/>
      <c r="K269" s="11" t="s">
        <v>4220</v>
      </c>
      <c r="L269" s="13"/>
    </row>
    <row r="270" spans="1:12" ht="18" customHeight="1" x14ac:dyDescent="0.25">
      <c r="A270" s="12"/>
      <c r="B270" s="11" t="s">
        <v>3190</v>
      </c>
      <c r="C270" s="11" t="str">
        <f>IFERROR(VLOOKUP(B270,[1]customers!$A:$B,2,0),"")</f>
        <v/>
      </c>
      <c r="D270" s="11" t="s">
        <v>3191</v>
      </c>
      <c r="E270" s="11" t="str" cm="1">
        <f t="array" ref="E270">IF(Table15[[#This Row],[Scott Correction]]="",Table15[[#This Row],[customer_id]],_xlfn.XLOOKUP(Table15[[#This Row],[Scott Correction]],[1]!Table2[[#All],[name]],[1]!Table2[[#All],[id]],"",0,1))</f>
        <v/>
      </c>
      <c r="F270" s="11" t="s">
        <v>4218</v>
      </c>
      <c r="G270" s="11" t="s">
        <v>4221</v>
      </c>
      <c r="H270" s="11"/>
      <c r="I270" s="11" t="s">
        <v>4222</v>
      </c>
      <c r="J270" s="11" t="s">
        <v>4223</v>
      </c>
      <c r="K270" s="11" t="s">
        <v>4224</v>
      </c>
      <c r="L270" s="13"/>
    </row>
    <row r="271" spans="1:12" ht="18" customHeight="1" x14ac:dyDescent="0.25">
      <c r="A271" s="12"/>
      <c r="B271" s="11" t="s">
        <v>3190</v>
      </c>
      <c r="C271" s="11" t="str">
        <f>IFERROR(VLOOKUP(B271,[1]customers!$A:$B,2,0),"")</f>
        <v/>
      </c>
      <c r="D271" s="11" t="s">
        <v>3191</v>
      </c>
      <c r="E271" s="11" t="str" cm="1">
        <f t="array" ref="E271">IF(Table15[[#This Row],[Scott Correction]]="",Table15[[#This Row],[customer_id]],_xlfn.XLOOKUP(Table15[[#This Row],[Scott Correction]],[1]!Table2[[#All],[name]],[1]!Table2[[#All],[id]],"",0,1))</f>
        <v/>
      </c>
      <c r="F271" s="11" t="s">
        <v>4218</v>
      </c>
      <c r="G271" s="11" t="s">
        <v>2919</v>
      </c>
      <c r="H271" s="11"/>
      <c r="I271" s="11"/>
      <c r="J271" s="11" t="s">
        <v>4225</v>
      </c>
      <c r="K271" s="11" t="s">
        <v>4224</v>
      </c>
      <c r="L271" s="13"/>
    </row>
    <row r="272" spans="1:12" ht="18" customHeight="1" x14ac:dyDescent="0.25">
      <c r="A272" s="12"/>
      <c r="B272" s="11" t="s">
        <v>3190</v>
      </c>
      <c r="C272" s="11" t="str">
        <f>IFERROR(VLOOKUP(B272,[1]customers!$A:$B,2,0),"")</f>
        <v/>
      </c>
      <c r="D272" s="11" t="s">
        <v>3191</v>
      </c>
      <c r="E272" s="11" t="str" cm="1">
        <f t="array" ref="E272">IF(Table15[[#This Row],[Scott Correction]]="",Table15[[#This Row],[customer_id]],_xlfn.XLOOKUP(Table15[[#This Row],[Scott Correction]],[1]!Table2[[#All],[name]],[1]!Table2[[#All],[id]],"",0,1))</f>
        <v/>
      </c>
      <c r="F272" s="11" t="s">
        <v>4226</v>
      </c>
      <c r="G272" s="11" t="s">
        <v>4227</v>
      </c>
      <c r="H272" s="11"/>
      <c r="I272" s="11" t="s">
        <v>4228</v>
      </c>
      <c r="J272" s="11" t="s">
        <v>4229</v>
      </c>
      <c r="K272" s="11" t="s">
        <v>4230</v>
      </c>
      <c r="L272" s="13"/>
    </row>
    <row r="273" spans="1:12" ht="18" customHeight="1" x14ac:dyDescent="0.25">
      <c r="A273" s="8"/>
      <c r="B273" s="9">
        <v>210</v>
      </c>
      <c r="C273" s="6" t="str">
        <f>IFERROR(VLOOKUP(B273,[1]customers!$A:$B,2,0),"")</f>
        <v>E &amp; T Plastics</v>
      </c>
      <c r="D273" s="6" t="s">
        <v>3191</v>
      </c>
      <c r="E273" s="6" t="str" cm="1">
        <f t="array" ref="E273">IF(Table15[[#This Row],[Scott Correction]]="",Table15[[#This Row],[customer_id]],_xlfn.XLOOKUP(Table15[[#This Row],[Scott Correction]],[1]!Table2[[#All],[name]],[1]!Table2[[#All],[id]],"",0,1))</f>
        <v/>
      </c>
      <c r="F273" s="9" t="s">
        <v>4231</v>
      </c>
      <c r="G273" s="9" t="s">
        <v>4232</v>
      </c>
      <c r="H273" s="9"/>
      <c r="I273" s="9" t="s">
        <v>4233</v>
      </c>
      <c r="J273" s="9"/>
      <c r="K273" s="9">
        <v>3303880772</v>
      </c>
      <c r="L273" s="10"/>
    </row>
    <row r="274" spans="1:12" ht="18" customHeight="1" x14ac:dyDescent="0.25">
      <c r="A274" s="12"/>
      <c r="B274" s="11" t="s">
        <v>3190</v>
      </c>
      <c r="C274" s="11" t="str">
        <f>IFERROR(VLOOKUP(B274,[1]customers!$A:$B,2,0),"")</f>
        <v/>
      </c>
      <c r="D274" s="11" t="s">
        <v>3191</v>
      </c>
      <c r="E274" s="11" t="str" cm="1">
        <f t="array" ref="E274">IF(Table15[[#This Row],[Scott Correction]]="",Table15[[#This Row],[customer_id]],_xlfn.XLOOKUP(Table15[[#This Row],[Scott Correction]],[1]!Table2[[#All],[name]],[1]!Table2[[#All],[id]],"",0,1))</f>
        <v/>
      </c>
      <c r="F274" s="11" t="s">
        <v>4234</v>
      </c>
      <c r="G274" s="11" t="s">
        <v>4235</v>
      </c>
      <c r="H274" s="11"/>
      <c r="I274" s="11" t="s">
        <v>4236</v>
      </c>
      <c r="J274" s="11" t="s">
        <v>4237</v>
      </c>
      <c r="K274" s="11" t="s">
        <v>4238</v>
      </c>
      <c r="L274" s="13"/>
    </row>
    <row r="275" spans="1:12" ht="18" customHeight="1" x14ac:dyDescent="0.25">
      <c r="A275" s="12"/>
      <c r="B275" s="11" t="s">
        <v>3190</v>
      </c>
      <c r="C275" s="11" t="str">
        <f>IFERROR(VLOOKUP(B275,[1]customers!$A:$B,2,0),"")</f>
        <v/>
      </c>
      <c r="D275" s="11" t="s">
        <v>3191</v>
      </c>
      <c r="E275" s="11" t="str" cm="1">
        <f t="array" ref="E275">IF(Table15[[#This Row],[Scott Correction]]="",Table15[[#This Row],[customer_id]],_xlfn.XLOOKUP(Table15[[#This Row],[Scott Correction]],[1]!Table2[[#All],[name]],[1]!Table2[[#All],[id]],"",0,1))</f>
        <v/>
      </c>
      <c r="F275" s="11" t="s">
        <v>4239</v>
      </c>
      <c r="G275" s="11" t="s">
        <v>4240</v>
      </c>
      <c r="H275" s="11"/>
      <c r="I275" s="11" t="s">
        <v>4241</v>
      </c>
      <c r="J275" s="11" t="s">
        <v>4242</v>
      </c>
      <c r="K275" s="11"/>
      <c r="L275" s="13"/>
    </row>
    <row r="276" spans="1:12" ht="18" customHeight="1" x14ac:dyDescent="0.25">
      <c r="A276" s="12"/>
      <c r="B276" s="11" t="s">
        <v>3190</v>
      </c>
      <c r="C276" s="11" t="str">
        <f>IFERROR(VLOOKUP(B276,[1]customers!$A:$B,2,0),"")</f>
        <v/>
      </c>
      <c r="D276" s="11" t="s">
        <v>3191</v>
      </c>
      <c r="E276" s="11" t="str" cm="1">
        <f t="array" ref="E276">IF(Table15[[#This Row],[Scott Correction]]="",Table15[[#This Row],[customer_id]],_xlfn.XLOOKUP(Table15[[#This Row],[Scott Correction]],[1]!Table2[[#All],[name]],[1]!Table2[[#All],[id]],"",0,1))</f>
        <v/>
      </c>
      <c r="F276" s="11" t="s">
        <v>4243</v>
      </c>
      <c r="G276" s="11" t="s">
        <v>4244</v>
      </c>
      <c r="H276" s="11"/>
      <c r="I276" s="11" t="s">
        <v>4245</v>
      </c>
      <c r="J276" s="11"/>
      <c r="K276" s="11" t="s">
        <v>4246</v>
      </c>
      <c r="L276" s="13"/>
    </row>
    <row r="277" spans="1:12" ht="18" customHeight="1" x14ac:dyDescent="0.25">
      <c r="A277" s="12"/>
      <c r="B277" s="11" t="s">
        <v>3190</v>
      </c>
      <c r="C277" s="11" t="str">
        <f>IFERROR(VLOOKUP(B277,[1]customers!$A:$B,2,0),"")</f>
        <v/>
      </c>
      <c r="D277" s="11" t="s">
        <v>3191</v>
      </c>
      <c r="E277" s="11" t="str" cm="1">
        <f t="array" ref="E277">IF(Table15[[#This Row],[Scott Correction]]="",Table15[[#This Row],[customer_id]],_xlfn.XLOOKUP(Table15[[#This Row],[Scott Correction]],[1]!Table2[[#All],[name]],[1]!Table2[[#All],[id]],"",0,1))</f>
        <v/>
      </c>
      <c r="F277" s="11" t="s">
        <v>4247</v>
      </c>
      <c r="G277" s="11" t="s">
        <v>4248</v>
      </c>
      <c r="H277" s="11"/>
      <c r="I277" s="11" t="s">
        <v>4249</v>
      </c>
      <c r="J277" s="11"/>
      <c r="K277" s="11">
        <v>3306188341</v>
      </c>
      <c r="L277" s="13"/>
    </row>
    <row r="278" spans="1:12" ht="18" customHeight="1" x14ac:dyDescent="0.25">
      <c r="A278" s="12"/>
      <c r="B278" s="11" t="s">
        <v>3190</v>
      </c>
      <c r="C278" s="11" t="str">
        <f>IFERROR(VLOOKUP(B278,[1]customers!$A:$B,2,0),"")</f>
        <v/>
      </c>
      <c r="D278" s="11" t="s">
        <v>3191</v>
      </c>
      <c r="E278" s="11" t="str" cm="1">
        <f t="array" ref="E278">IF(Table15[[#This Row],[Scott Correction]]="",Table15[[#This Row],[customer_id]],_xlfn.XLOOKUP(Table15[[#This Row],[Scott Correction]],[1]!Table2[[#All],[name]],[1]!Table2[[#All],[id]],"",0,1))</f>
        <v/>
      </c>
      <c r="F278" s="11" t="s">
        <v>4250</v>
      </c>
      <c r="G278" s="11" t="s">
        <v>4251</v>
      </c>
      <c r="H278" s="11"/>
      <c r="I278" s="11" t="s">
        <v>4252</v>
      </c>
      <c r="J278" s="11"/>
      <c r="K278" s="11" t="s">
        <v>4253</v>
      </c>
      <c r="L278" s="13"/>
    </row>
    <row r="279" spans="1:12" ht="18" customHeight="1" x14ac:dyDescent="0.25">
      <c r="A279" s="12"/>
      <c r="B279" s="11" t="s">
        <v>3190</v>
      </c>
      <c r="C279" s="11" t="str">
        <f>IFERROR(VLOOKUP(B279,[1]customers!$A:$B,2,0),"")</f>
        <v/>
      </c>
      <c r="D279" s="11" t="s">
        <v>3191</v>
      </c>
      <c r="E279" s="11" t="str" cm="1">
        <f t="array" ref="E279">IF(Table15[[#This Row],[Scott Correction]]="",Table15[[#This Row],[customer_id]],_xlfn.XLOOKUP(Table15[[#This Row],[Scott Correction]],[1]!Table2[[#All],[name]],[1]!Table2[[#All],[id]],"",0,1))</f>
        <v/>
      </c>
      <c r="F279" s="11" t="s">
        <v>4250</v>
      </c>
      <c r="G279" s="11" t="s">
        <v>4254</v>
      </c>
      <c r="H279" s="11"/>
      <c r="I279" s="11" t="s">
        <v>4255</v>
      </c>
      <c r="J279" s="11" t="s">
        <v>4256</v>
      </c>
      <c r="K279" s="11" t="s">
        <v>4257</v>
      </c>
      <c r="L279" s="13"/>
    </row>
    <row r="280" spans="1:12" ht="18" customHeight="1" x14ac:dyDescent="0.25">
      <c r="A280" s="12"/>
      <c r="B280" s="11" t="s">
        <v>3190</v>
      </c>
      <c r="C280" s="11" t="str">
        <f>IFERROR(VLOOKUP(B280,[1]customers!$A:$B,2,0),"")</f>
        <v/>
      </c>
      <c r="D280" s="11" t="s">
        <v>3191</v>
      </c>
      <c r="E280" s="11" t="str" cm="1">
        <f t="array" ref="E280">IF(Table15[[#This Row],[Scott Correction]]="",Table15[[#This Row],[customer_id]],_xlfn.XLOOKUP(Table15[[#This Row],[Scott Correction]],[1]!Table2[[#All],[name]],[1]!Table2[[#All],[id]],"",0,1))</f>
        <v/>
      </c>
      <c r="F280" s="11" t="s">
        <v>4250</v>
      </c>
      <c r="G280" s="11" t="s">
        <v>4258</v>
      </c>
      <c r="H280" s="11"/>
      <c r="I280" s="11" t="s">
        <v>4259</v>
      </c>
      <c r="J280" s="11" t="s">
        <v>4260</v>
      </c>
      <c r="K280" s="11" t="s">
        <v>4257</v>
      </c>
      <c r="L280" s="13"/>
    </row>
    <row r="281" spans="1:12" ht="18" customHeight="1" x14ac:dyDescent="0.25">
      <c r="A281" s="12"/>
      <c r="B281" s="11" t="s">
        <v>3190</v>
      </c>
      <c r="C281" s="11" t="str">
        <f>IFERROR(VLOOKUP(B281,[1]customers!$A:$B,2,0),"")</f>
        <v/>
      </c>
      <c r="D281" s="11" t="s">
        <v>3191</v>
      </c>
      <c r="E281" s="11" t="str" cm="1">
        <f t="array" ref="E281">IF(Table15[[#This Row],[Scott Correction]]="",Table15[[#This Row],[customer_id]],_xlfn.XLOOKUP(Table15[[#This Row],[Scott Correction]],[1]!Table2[[#All],[name]],[1]!Table2[[#All],[id]],"",0,1))</f>
        <v/>
      </c>
      <c r="F281" s="11" t="s">
        <v>4250</v>
      </c>
      <c r="G281" s="11" t="s">
        <v>4261</v>
      </c>
      <c r="H281" s="11"/>
      <c r="I281" s="11" t="s">
        <v>4262</v>
      </c>
      <c r="J281" s="11"/>
      <c r="K281" s="11" t="s">
        <v>4263</v>
      </c>
      <c r="L281" s="13"/>
    </row>
    <row r="282" spans="1:12" ht="18" customHeight="1" x14ac:dyDescent="0.25">
      <c r="A282" s="8"/>
      <c r="B282" s="9">
        <v>595</v>
      </c>
      <c r="C282" s="6" t="str">
        <f>IFERROR(VLOOKUP(B282,[1]customers!$A:$B,2,0),"")</f>
        <v>S&amp;S Mechanical Services</v>
      </c>
      <c r="D282" s="6" t="s">
        <v>3191</v>
      </c>
      <c r="E282" s="6" t="str" cm="1">
        <f t="array" ref="E282">IF(Table15[[#This Row],[Scott Correction]]="",Table15[[#This Row],[customer_id]],_xlfn.XLOOKUP(Table15[[#This Row],[Scott Correction]],[1]!Table2[[#All],[name]],[1]!Table2[[#All],[id]],"",0,1))</f>
        <v/>
      </c>
      <c r="F282" s="9" t="s">
        <v>4264</v>
      </c>
      <c r="G282" s="9" t="s">
        <v>4265</v>
      </c>
      <c r="H282" s="9"/>
      <c r="I282" s="9" t="s">
        <v>4266</v>
      </c>
      <c r="J282" s="9"/>
      <c r="K282" s="9">
        <v>3304602052</v>
      </c>
      <c r="L282" s="10"/>
    </row>
    <row r="283" spans="1:12" ht="18" customHeight="1" x14ac:dyDescent="0.25">
      <c r="A283" s="12"/>
      <c r="B283" s="11" t="s">
        <v>3190</v>
      </c>
      <c r="C283" s="11" t="str">
        <f>IFERROR(VLOOKUP(B283,[1]customers!$A:$B,2,0),"")</f>
        <v/>
      </c>
      <c r="D283" s="11" t="s">
        <v>3191</v>
      </c>
      <c r="E283" s="11" t="str" cm="1">
        <f t="array" ref="E283">IF(Table15[[#This Row],[Scott Correction]]="",Table15[[#This Row],[customer_id]],_xlfn.XLOOKUP(Table15[[#This Row],[Scott Correction]],[1]!Table2[[#All],[name]],[1]!Table2[[#All],[id]],"",0,1))</f>
        <v/>
      </c>
      <c r="F283" s="11" t="s">
        <v>4267</v>
      </c>
      <c r="G283" s="11" t="s">
        <v>4268</v>
      </c>
      <c r="H283" s="11"/>
      <c r="I283" s="11"/>
      <c r="J283" s="11"/>
      <c r="K283" s="11" t="s">
        <v>4269</v>
      </c>
      <c r="L283" s="13"/>
    </row>
    <row r="284" spans="1:12" ht="18" customHeight="1" x14ac:dyDescent="0.25">
      <c r="A284" s="12"/>
      <c r="B284" s="11" t="s">
        <v>3190</v>
      </c>
      <c r="C284" s="11" t="str">
        <f>IFERROR(VLOOKUP(B284,[1]customers!$A:$B,2,0),"")</f>
        <v/>
      </c>
      <c r="D284" s="11" t="s">
        <v>3191</v>
      </c>
      <c r="E284" s="11" t="str" cm="1">
        <f t="array" ref="E284">IF(Table15[[#This Row],[Scott Correction]]="",Table15[[#This Row],[customer_id]],_xlfn.XLOOKUP(Table15[[#This Row],[Scott Correction]],[1]!Table2[[#All],[name]],[1]!Table2[[#All],[id]],"",0,1))</f>
        <v/>
      </c>
      <c r="F284" s="11" t="s">
        <v>4270</v>
      </c>
      <c r="G284" s="11" t="s">
        <v>4271</v>
      </c>
      <c r="H284" s="11"/>
      <c r="I284" s="11" t="s">
        <v>4272</v>
      </c>
      <c r="J284" s="11" t="s">
        <v>4273</v>
      </c>
      <c r="K284" s="11"/>
      <c r="L284" s="13"/>
    </row>
    <row r="285" spans="1:12" ht="18" customHeight="1" x14ac:dyDescent="0.25">
      <c r="A285" s="12"/>
      <c r="B285" s="11" t="s">
        <v>3190</v>
      </c>
      <c r="C285" s="11" t="str">
        <f>IFERROR(VLOOKUP(B285,[1]customers!$A:$B,2,0),"")</f>
        <v/>
      </c>
      <c r="D285" s="11" t="s">
        <v>3191</v>
      </c>
      <c r="E285" s="11" t="str" cm="1">
        <f t="array" ref="E285">IF(Table15[[#This Row],[Scott Correction]]="",Table15[[#This Row],[customer_id]],_xlfn.XLOOKUP(Table15[[#This Row],[Scott Correction]],[1]!Table2[[#All],[name]],[1]!Table2[[#All],[id]],"",0,1))</f>
        <v/>
      </c>
      <c r="F285" s="11" t="s">
        <v>4274</v>
      </c>
      <c r="G285" s="11" t="s">
        <v>4275</v>
      </c>
      <c r="H285" s="11"/>
      <c r="I285" s="11" t="s">
        <v>4276</v>
      </c>
      <c r="J285" s="11"/>
      <c r="K285" s="11" t="s">
        <v>4277</v>
      </c>
      <c r="L285" s="13"/>
    </row>
    <row r="286" spans="1:12" ht="18" customHeight="1" x14ac:dyDescent="0.25">
      <c r="A286" s="12"/>
      <c r="B286" s="11" t="s">
        <v>3190</v>
      </c>
      <c r="C286" s="11" t="str">
        <f>IFERROR(VLOOKUP(B286,[1]customers!$A:$B,2,0),"")</f>
        <v/>
      </c>
      <c r="D286" s="11" t="s">
        <v>3191</v>
      </c>
      <c r="E286" s="11" t="str" cm="1">
        <f t="array" ref="E286">IF(Table15[[#This Row],[Scott Correction]]="",Table15[[#This Row],[customer_id]],_xlfn.XLOOKUP(Table15[[#This Row],[Scott Correction]],[1]!Table2[[#All],[name]],[1]!Table2[[#All],[id]],"",0,1))</f>
        <v/>
      </c>
      <c r="F286" s="11" t="s">
        <v>4278</v>
      </c>
      <c r="G286" s="11" t="s">
        <v>4279</v>
      </c>
      <c r="H286" s="11"/>
      <c r="I286" s="11" t="s">
        <v>4280</v>
      </c>
      <c r="J286" s="11"/>
      <c r="K286" s="11" t="s">
        <v>4281</v>
      </c>
      <c r="L286" s="13"/>
    </row>
    <row r="287" spans="1:12" ht="18" customHeight="1" x14ac:dyDescent="0.25">
      <c r="A287" s="12"/>
      <c r="B287" s="11" t="s">
        <v>3190</v>
      </c>
      <c r="C287" s="11" t="str">
        <f>IFERROR(VLOOKUP(B287,[1]customers!$A:$B,2,0),"")</f>
        <v/>
      </c>
      <c r="D287" s="11" t="s">
        <v>3191</v>
      </c>
      <c r="E287" s="11" t="str" cm="1">
        <f t="array" ref="E287">IF(Table15[[#This Row],[Scott Correction]]="",Table15[[#This Row],[customer_id]],_xlfn.XLOOKUP(Table15[[#This Row],[Scott Correction]],[1]!Table2[[#All],[name]],[1]!Table2[[#All],[id]],"",0,1))</f>
        <v/>
      </c>
      <c r="F287" s="11" t="s">
        <v>4282</v>
      </c>
      <c r="G287" s="11" t="s">
        <v>4283</v>
      </c>
      <c r="H287" s="11"/>
      <c r="I287" s="11" t="s">
        <v>4284</v>
      </c>
      <c r="J287" s="11"/>
      <c r="K287" s="11" t="s">
        <v>4285</v>
      </c>
      <c r="L287" s="13"/>
    </row>
    <row r="288" spans="1:12" ht="18" customHeight="1" x14ac:dyDescent="0.25">
      <c r="A288" s="12"/>
      <c r="B288" s="11" t="s">
        <v>3190</v>
      </c>
      <c r="C288" s="11" t="str">
        <f>IFERROR(VLOOKUP(B288,[1]customers!$A:$B,2,0),"")</f>
        <v/>
      </c>
      <c r="D288" s="11" t="s">
        <v>3191</v>
      </c>
      <c r="E288" s="11" t="str" cm="1">
        <f t="array" ref="E288">IF(Table15[[#This Row],[Scott Correction]]="",Table15[[#This Row],[customer_id]],_xlfn.XLOOKUP(Table15[[#This Row],[Scott Correction]],[1]!Table2[[#All],[name]],[1]!Table2[[#All],[id]],"",0,1))</f>
        <v/>
      </c>
      <c r="F288" s="11" t="s">
        <v>4286</v>
      </c>
      <c r="G288" s="11" t="s">
        <v>4287</v>
      </c>
      <c r="H288" s="11"/>
      <c r="I288" s="11" t="s">
        <v>4288</v>
      </c>
      <c r="J288" s="11" t="s">
        <v>4289</v>
      </c>
      <c r="K288" s="11" t="s">
        <v>4290</v>
      </c>
      <c r="L288" s="13"/>
    </row>
    <row r="289" spans="1:12" ht="18" customHeight="1" x14ac:dyDescent="0.25">
      <c r="A289" s="12"/>
      <c r="B289" s="11" t="s">
        <v>3190</v>
      </c>
      <c r="C289" s="11" t="str">
        <f>IFERROR(VLOOKUP(B289,[1]customers!$A:$B,2,0),"")</f>
        <v/>
      </c>
      <c r="D289" s="11" t="s">
        <v>3191</v>
      </c>
      <c r="E289" s="11" t="str" cm="1">
        <f t="array" ref="E289">IF(Table15[[#This Row],[Scott Correction]]="",Table15[[#This Row],[customer_id]],_xlfn.XLOOKUP(Table15[[#This Row],[Scott Correction]],[1]!Table2[[#All],[name]],[1]!Table2[[#All],[id]],"",0,1))</f>
        <v/>
      </c>
      <c r="F289" s="11" t="s">
        <v>4286</v>
      </c>
      <c r="G289" s="11" t="s">
        <v>4291</v>
      </c>
      <c r="H289" s="11"/>
      <c r="I289" s="11" t="s">
        <v>4292</v>
      </c>
      <c r="J289" s="11" t="s">
        <v>4293</v>
      </c>
      <c r="K289" s="11" t="s">
        <v>4294</v>
      </c>
      <c r="L289" s="13"/>
    </row>
    <row r="290" spans="1:12" ht="18" customHeight="1" x14ac:dyDescent="0.25">
      <c r="A290" s="12"/>
      <c r="B290" s="11" t="s">
        <v>3190</v>
      </c>
      <c r="C290" s="11" t="str">
        <f>IFERROR(VLOOKUP(B290,[1]customers!$A:$B,2,0),"")</f>
        <v/>
      </c>
      <c r="D290" s="11" t="s">
        <v>3191</v>
      </c>
      <c r="E290" s="11" t="str" cm="1">
        <f t="array" ref="E290">IF(Table15[[#This Row],[Scott Correction]]="",Table15[[#This Row],[customer_id]],_xlfn.XLOOKUP(Table15[[#This Row],[Scott Correction]],[1]!Table2[[#All],[name]],[1]!Table2[[#All],[id]],"",0,1))</f>
        <v/>
      </c>
      <c r="F290" s="11" t="s">
        <v>4295</v>
      </c>
      <c r="G290" s="11" t="s">
        <v>4296</v>
      </c>
      <c r="H290" s="11"/>
      <c r="I290" s="11" t="s">
        <v>4297</v>
      </c>
      <c r="J290" s="11" t="s">
        <v>4298</v>
      </c>
      <c r="K290" s="11"/>
      <c r="L290" s="13"/>
    </row>
    <row r="291" spans="1:12" ht="18" customHeight="1" x14ac:dyDescent="0.25">
      <c r="A291" s="12"/>
      <c r="B291" s="11" t="s">
        <v>3190</v>
      </c>
      <c r="C291" s="11" t="str">
        <f>IFERROR(VLOOKUP(B291,[1]customers!$A:$B,2,0),"")</f>
        <v/>
      </c>
      <c r="D291" s="11" t="s">
        <v>3191</v>
      </c>
      <c r="E291" s="11" t="str" cm="1">
        <f t="array" ref="E291">IF(Table15[[#This Row],[Scott Correction]]="",Table15[[#This Row],[customer_id]],_xlfn.XLOOKUP(Table15[[#This Row],[Scott Correction]],[1]!Table2[[#All],[name]],[1]!Table2[[#All],[id]],"",0,1))</f>
        <v/>
      </c>
      <c r="F291" s="11" t="s">
        <v>4299</v>
      </c>
      <c r="G291" s="11" t="s">
        <v>4300</v>
      </c>
      <c r="H291" s="11"/>
      <c r="I291" s="11"/>
      <c r="J291" s="11"/>
      <c r="K291" s="11" t="s">
        <v>4301</v>
      </c>
      <c r="L291" s="13"/>
    </row>
    <row r="292" spans="1:12" ht="18" customHeight="1" x14ac:dyDescent="0.25">
      <c r="A292" s="12"/>
      <c r="B292" s="11" t="s">
        <v>3190</v>
      </c>
      <c r="C292" s="11" t="str">
        <f>IFERROR(VLOOKUP(B292,[1]customers!$A:$B,2,0),"")</f>
        <v/>
      </c>
      <c r="D292" s="11" t="s">
        <v>3191</v>
      </c>
      <c r="E292" s="11" t="str" cm="1">
        <f t="array" ref="E292">IF(Table15[[#This Row],[Scott Correction]]="",Table15[[#This Row],[customer_id]],_xlfn.XLOOKUP(Table15[[#This Row],[Scott Correction]],[1]!Table2[[#All],[name]],[1]!Table2[[#All],[id]],"",0,1))</f>
        <v/>
      </c>
      <c r="F292" s="11" t="s">
        <v>4302</v>
      </c>
      <c r="G292" s="11" t="s">
        <v>4303</v>
      </c>
      <c r="H292" s="11"/>
      <c r="I292" s="11" t="s">
        <v>4304</v>
      </c>
      <c r="J292" s="11" t="s">
        <v>4305</v>
      </c>
      <c r="K292" s="11" t="s">
        <v>4306</v>
      </c>
      <c r="L292" s="13"/>
    </row>
    <row r="293" spans="1:12" ht="18" customHeight="1" x14ac:dyDescent="0.25">
      <c r="A293" s="12"/>
      <c r="B293" s="11" t="s">
        <v>3190</v>
      </c>
      <c r="C293" s="11" t="str">
        <f>IFERROR(VLOOKUP(B293,[1]customers!$A:$B,2,0),"")</f>
        <v/>
      </c>
      <c r="D293" s="11" t="s">
        <v>3191</v>
      </c>
      <c r="E293" s="11" t="str" cm="1">
        <f t="array" ref="E293">IF(Table15[[#This Row],[Scott Correction]]="",Table15[[#This Row],[customer_id]],_xlfn.XLOOKUP(Table15[[#This Row],[Scott Correction]],[1]!Table2[[#All],[name]],[1]!Table2[[#All],[id]],"",0,1))</f>
        <v/>
      </c>
      <c r="F293" s="11" t="s">
        <v>4307</v>
      </c>
      <c r="G293" s="11" t="s">
        <v>4308</v>
      </c>
      <c r="H293" s="11"/>
      <c r="I293" s="11"/>
      <c r="J293" s="11" t="s">
        <v>4309</v>
      </c>
      <c r="K293" s="11"/>
      <c r="L293" s="13"/>
    </row>
    <row r="294" spans="1:12" ht="18" customHeight="1" x14ac:dyDescent="0.25">
      <c r="A294" s="12"/>
      <c r="B294" s="11" t="s">
        <v>3190</v>
      </c>
      <c r="C294" s="11" t="str">
        <f>IFERROR(VLOOKUP(B294,[1]customers!$A:$B,2,0),"")</f>
        <v/>
      </c>
      <c r="D294" s="11" t="s">
        <v>3191</v>
      </c>
      <c r="E294" s="11" t="str" cm="1">
        <f t="array" ref="E294">IF(Table15[[#This Row],[Scott Correction]]="",Table15[[#This Row],[customer_id]],_xlfn.XLOOKUP(Table15[[#This Row],[Scott Correction]],[1]!Table2[[#All],[name]],[1]!Table2[[#All],[id]],"",0,1))</f>
        <v/>
      </c>
      <c r="F294" s="11" t="s">
        <v>4310</v>
      </c>
      <c r="G294" s="11" t="s">
        <v>4311</v>
      </c>
      <c r="H294" s="11"/>
      <c r="I294" s="11" t="s">
        <v>4312</v>
      </c>
      <c r="J294" s="11"/>
      <c r="K294" s="11">
        <v>7249442725</v>
      </c>
      <c r="L294" s="13"/>
    </row>
    <row r="295" spans="1:12" ht="18" customHeight="1" x14ac:dyDescent="0.25">
      <c r="A295" s="4"/>
      <c r="B295" s="5">
        <v>99</v>
      </c>
      <c r="C295" s="6" t="str">
        <f>IFERROR(VLOOKUP(B295,[1]customers!$A:$B,2,0),"")</f>
        <v>Bole Machinery Inc</v>
      </c>
      <c r="D295" s="6" t="s">
        <v>3191</v>
      </c>
      <c r="E295" s="6" t="str" cm="1">
        <f t="array" ref="E295">IF(Table15[[#This Row],[Scott Correction]]="",Table15[[#This Row],[customer_id]],_xlfn.XLOOKUP(Table15[[#This Row],[Scott Correction]],[1]!Table2[[#All],[name]],[1]!Table2[[#All],[id]],"",0,1))</f>
        <v/>
      </c>
      <c r="F295" s="5" t="s">
        <v>4313</v>
      </c>
      <c r="G295" s="5" t="s">
        <v>4314</v>
      </c>
      <c r="H295" s="5"/>
      <c r="I295" s="5"/>
      <c r="J295" s="5" t="s">
        <v>4315</v>
      </c>
      <c r="K295" s="5" t="s">
        <v>4316</v>
      </c>
      <c r="L295" s="7"/>
    </row>
    <row r="296" spans="1:12" ht="18" customHeight="1" x14ac:dyDescent="0.25">
      <c r="A296" s="8"/>
      <c r="B296" s="9">
        <v>99</v>
      </c>
      <c r="C296" s="6" t="str">
        <f>IFERROR(VLOOKUP(B296,[1]customers!$A:$B,2,0),"")</f>
        <v>Bole Machinery Inc</v>
      </c>
      <c r="D296" s="6" t="s">
        <v>3191</v>
      </c>
      <c r="E296" s="6" t="str" cm="1">
        <f t="array" ref="E296">IF(Table15[[#This Row],[Scott Correction]]="",Table15[[#This Row],[customer_id]],_xlfn.XLOOKUP(Table15[[#This Row],[Scott Correction]],[1]!Table2[[#All],[name]],[1]!Table2[[#All],[id]],"",0,1))</f>
        <v/>
      </c>
      <c r="F296" s="9" t="s">
        <v>4313</v>
      </c>
      <c r="G296" s="9" t="s">
        <v>4317</v>
      </c>
      <c r="H296" s="9"/>
      <c r="I296" s="9" t="s">
        <v>4318</v>
      </c>
      <c r="J296" s="9"/>
      <c r="K296" s="9"/>
      <c r="L296" s="10"/>
    </row>
    <row r="297" spans="1:12" ht="18" customHeight="1" x14ac:dyDescent="0.25">
      <c r="A297" s="12"/>
      <c r="B297" s="11" t="s">
        <v>3190</v>
      </c>
      <c r="C297" s="11" t="str">
        <f>IFERROR(VLOOKUP(B297,[1]customers!$A:$B,2,0),"")</f>
        <v/>
      </c>
      <c r="D297" s="11" t="s">
        <v>3191</v>
      </c>
      <c r="E297" s="11" t="str" cm="1">
        <f t="array" ref="E297">IF(Table15[[#This Row],[Scott Correction]]="",Table15[[#This Row],[customer_id]],_xlfn.XLOOKUP(Table15[[#This Row],[Scott Correction]],[1]!Table2[[#All],[name]],[1]!Table2[[#All],[id]],"",0,1))</f>
        <v/>
      </c>
      <c r="F297" s="11" t="s">
        <v>4319</v>
      </c>
      <c r="G297" s="11" t="s">
        <v>4320</v>
      </c>
      <c r="H297" s="11"/>
      <c r="I297" s="11"/>
      <c r="J297" s="11" t="s">
        <v>4321</v>
      </c>
      <c r="K297" s="11" t="s">
        <v>4322</v>
      </c>
      <c r="L297" s="13"/>
    </row>
    <row r="298" spans="1:12" ht="18" customHeight="1" x14ac:dyDescent="0.25">
      <c r="A298" s="12"/>
      <c r="B298" s="11" t="s">
        <v>3190</v>
      </c>
      <c r="C298" s="11" t="str">
        <f>IFERROR(VLOOKUP(B298,[1]customers!$A:$B,2,0),"")</f>
        <v/>
      </c>
      <c r="D298" s="11" t="s">
        <v>3191</v>
      </c>
      <c r="E298" s="11" t="str" cm="1">
        <f t="array" ref="E298">IF(Table15[[#This Row],[Scott Correction]]="",Table15[[#This Row],[customer_id]],_xlfn.XLOOKUP(Table15[[#This Row],[Scott Correction]],[1]!Table2[[#All],[name]],[1]!Table2[[#All],[id]],"",0,1))</f>
        <v/>
      </c>
      <c r="F298" s="11" t="s">
        <v>4323</v>
      </c>
      <c r="G298" s="11" t="s">
        <v>4324</v>
      </c>
      <c r="H298" s="11"/>
      <c r="I298" s="11" t="s">
        <v>4325</v>
      </c>
      <c r="J298" s="11"/>
      <c r="K298" s="11" t="s">
        <v>4326</v>
      </c>
      <c r="L298" s="13"/>
    </row>
    <row r="299" spans="1:12" ht="18" customHeight="1" x14ac:dyDescent="0.25">
      <c r="A299" s="4"/>
      <c r="B299" s="5">
        <v>595</v>
      </c>
      <c r="C299" s="6" t="str">
        <f>IFERROR(VLOOKUP(B299,[1]customers!$A:$B,2,0),"")</f>
        <v>S&amp;S Mechanical Services</v>
      </c>
      <c r="D299" s="6" t="s">
        <v>3191</v>
      </c>
      <c r="E299" s="6" t="str" cm="1">
        <f t="array" ref="E299">IF(Table15[[#This Row],[Scott Correction]]="",Table15[[#This Row],[customer_id]],_xlfn.XLOOKUP(Table15[[#This Row],[Scott Correction]],[1]!Table2[[#All],[name]],[1]!Table2[[#All],[id]],"",0,1))</f>
        <v/>
      </c>
      <c r="F299" s="5" t="s">
        <v>4327</v>
      </c>
      <c r="G299" s="5" t="s">
        <v>4328</v>
      </c>
      <c r="H299" s="5"/>
      <c r="I299" s="5"/>
      <c r="J299" s="5"/>
      <c r="K299" s="5" t="s">
        <v>4329</v>
      </c>
      <c r="L299" s="7"/>
    </row>
    <row r="300" spans="1:12" ht="18" customHeight="1" x14ac:dyDescent="0.25">
      <c r="A300" s="12"/>
      <c r="B300" s="11" t="s">
        <v>3190</v>
      </c>
      <c r="C300" s="11" t="str">
        <f>IFERROR(VLOOKUP(B300,[1]customers!$A:$B,2,0),"")</f>
        <v/>
      </c>
      <c r="D300" s="11" t="s">
        <v>3191</v>
      </c>
      <c r="E300" s="11" t="str" cm="1">
        <f t="array" ref="E300">IF(Table15[[#This Row],[Scott Correction]]="",Table15[[#This Row],[customer_id]],_xlfn.XLOOKUP(Table15[[#This Row],[Scott Correction]],[1]!Table2[[#All],[name]],[1]!Table2[[#All],[id]],"",0,1))</f>
        <v/>
      </c>
      <c r="F300" s="11" t="s">
        <v>4330</v>
      </c>
      <c r="G300" s="11" t="s">
        <v>4331</v>
      </c>
      <c r="H300" s="11"/>
      <c r="I300" s="11" t="s">
        <v>4332</v>
      </c>
      <c r="J300" s="11" t="s">
        <v>4333</v>
      </c>
      <c r="K300" s="11" t="s">
        <v>4334</v>
      </c>
      <c r="L300" s="13"/>
    </row>
    <row r="301" spans="1:12" ht="18" customHeight="1" x14ac:dyDescent="0.25">
      <c r="A301" s="12"/>
      <c r="B301" s="11" t="s">
        <v>3190</v>
      </c>
      <c r="C301" s="11" t="str">
        <f>IFERROR(VLOOKUP(B301,[1]customers!$A:$B,2,0),"")</f>
        <v/>
      </c>
      <c r="D301" s="11" t="s">
        <v>3191</v>
      </c>
      <c r="E301" s="11" t="str" cm="1">
        <f t="array" ref="E301">IF(Table15[[#This Row],[Scott Correction]]="",Table15[[#This Row],[customer_id]],_xlfn.XLOOKUP(Table15[[#This Row],[Scott Correction]],[1]!Table2[[#All],[name]],[1]!Table2[[#All],[id]],"",0,1))</f>
        <v/>
      </c>
      <c r="F301" s="11" t="s">
        <v>4335</v>
      </c>
      <c r="G301" s="11" t="s">
        <v>4336</v>
      </c>
      <c r="H301" s="11"/>
      <c r="I301" s="11"/>
      <c r="J301" s="11" t="s">
        <v>4337</v>
      </c>
      <c r="K301" s="11"/>
      <c r="L301" s="13"/>
    </row>
    <row r="302" spans="1:12" ht="18" customHeight="1" x14ac:dyDescent="0.25">
      <c r="A302" s="12"/>
      <c r="B302" s="11" t="s">
        <v>3190</v>
      </c>
      <c r="C302" s="11" t="str">
        <f>IFERROR(VLOOKUP(B302,[1]customers!$A:$B,2,0),"")</f>
        <v/>
      </c>
      <c r="D302" s="11" t="s">
        <v>3191</v>
      </c>
      <c r="E302" s="11" t="str" cm="1">
        <f t="array" ref="E302">IF(Table15[[#This Row],[Scott Correction]]="",Table15[[#This Row],[customer_id]],_xlfn.XLOOKUP(Table15[[#This Row],[Scott Correction]],[1]!Table2[[#All],[name]],[1]!Table2[[#All],[id]],"",0,1))</f>
        <v/>
      </c>
      <c r="F302" s="11" t="s">
        <v>4338</v>
      </c>
      <c r="G302" s="11" t="s">
        <v>4339</v>
      </c>
      <c r="H302" s="11"/>
      <c r="I302" s="11" t="s">
        <v>4340</v>
      </c>
      <c r="J302" s="11"/>
      <c r="K302" s="11" t="s">
        <v>4341</v>
      </c>
      <c r="L302" s="13"/>
    </row>
    <row r="303" spans="1:12" ht="18" customHeight="1" x14ac:dyDescent="0.25">
      <c r="A303" s="8"/>
      <c r="B303" s="9">
        <v>652</v>
      </c>
      <c r="C303" s="6" t="str">
        <f>IFERROR(VLOOKUP(B303,[1]customers!$A:$B,2,0),"")</f>
        <v>StoreTek Engineering</v>
      </c>
      <c r="D303" s="6" t="s">
        <v>3191</v>
      </c>
      <c r="E303" s="6" t="str" cm="1">
        <f t="array" ref="E303">IF(Table15[[#This Row],[Scott Correction]]="",Table15[[#This Row],[customer_id]],_xlfn.XLOOKUP(Table15[[#This Row],[Scott Correction]],[1]!Table2[[#All],[name]],[1]!Table2[[#All],[id]],"",0,1))</f>
        <v/>
      </c>
      <c r="F303" s="9" t="s">
        <v>4342</v>
      </c>
      <c r="G303" s="9" t="s">
        <v>4343</v>
      </c>
      <c r="H303" s="9"/>
      <c r="I303" s="9" t="s">
        <v>4344</v>
      </c>
      <c r="J303" s="9"/>
      <c r="K303" s="9">
        <v>3303299067</v>
      </c>
      <c r="L303" s="10"/>
    </row>
    <row r="304" spans="1:12" ht="18" customHeight="1" x14ac:dyDescent="0.25">
      <c r="A304" s="12"/>
      <c r="B304" s="11" t="s">
        <v>3190</v>
      </c>
      <c r="C304" s="11" t="str">
        <f>IFERROR(VLOOKUP(B304,[1]customers!$A:$B,2,0),"")</f>
        <v/>
      </c>
      <c r="D304" s="11" t="s">
        <v>3191</v>
      </c>
      <c r="E304" s="11" t="str" cm="1">
        <f t="array" ref="E304">IF(Table15[[#This Row],[Scott Correction]]="",Table15[[#This Row],[customer_id]],_xlfn.XLOOKUP(Table15[[#This Row],[Scott Correction]],[1]!Table2[[#All],[name]],[1]!Table2[[#All],[id]],"",0,1))</f>
        <v/>
      </c>
      <c r="F304" s="11" t="s">
        <v>4345</v>
      </c>
      <c r="G304" s="11" t="s">
        <v>4346</v>
      </c>
      <c r="H304" s="11"/>
      <c r="I304" s="11" t="s">
        <v>4347</v>
      </c>
      <c r="J304" s="11"/>
      <c r="K304" s="11" t="s">
        <v>4348</v>
      </c>
      <c r="L304" s="13"/>
    </row>
    <row r="305" spans="1:12" ht="18" customHeight="1" x14ac:dyDescent="0.25">
      <c r="A305" s="12"/>
      <c r="B305" s="11" t="s">
        <v>3190</v>
      </c>
      <c r="C305" s="11" t="str">
        <f>IFERROR(VLOOKUP(B305,[1]customers!$A:$B,2,0),"")</f>
        <v/>
      </c>
      <c r="D305" s="11" t="s">
        <v>3191</v>
      </c>
      <c r="E305" s="11" t="str" cm="1">
        <f t="array" ref="E305">IF(Table15[[#This Row],[Scott Correction]]="",Table15[[#This Row],[customer_id]],_xlfn.XLOOKUP(Table15[[#This Row],[Scott Correction]],[1]!Table2[[#All],[name]],[1]!Table2[[#All],[id]],"",0,1))</f>
        <v/>
      </c>
      <c r="F305" s="11" t="s">
        <v>4349</v>
      </c>
      <c r="G305" s="11" t="s">
        <v>4350</v>
      </c>
      <c r="H305" s="11"/>
      <c r="I305" s="11" t="s">
        <v>4351</v>
      </c>
      <c r="J305" s="11" t="s">
        <v>4352</v>
      </c>
      <c r="K305" s="11"/>
      <c r="L305" s="13"/>
    </row>
    <row r="306" spans="1:12" ht="18" customHeight="1" x14ac:dyDescent="0.25">
      <c r="A306" s="12"/>
      <c r="B306" s="11" t="s">
        <v>3190</v>
      </c>
      <c r="C306" s="11" t="str">
        <f>IFERROR(VLOOKUP(B306,[1]customers!$A:$B,2,0),"")</f>
        <v/>
      </c>
      <c r="D306" s="11" t="s">
        <v>3191</v>
      </c>
      <c r="E306" s="11" t="str" cm="1">
        <f t="array" ref="E306">IF(Table15[[#This Row],[Scott Correction]]="",Table15[[#This Row],[customer_id]],_xlfn.XLOOKUP(Table15[[#This Row],[Scott Correction]],[1]!Table2[[#All],[name]],[1]!Table2[[#All],[id]],"",0,1))</f>
        <v/>
      </c>
      <c r="F306" s="11" t="s">
        <v>4353</v>
      </c>
      <c r="G306" s="11" t="s">
        <v>4354</v>
      </c>
      <c r="H306" s="11"/>
      <c r="I306" s="11" t="s">
        <v>4355</v>
      </c>
      <c r="J306" s="11" t="s">
        <v>4356</v>
      </c>
      <c r="K306" s="11"/>
      <c r="L306" s="13"/>
    </row>
    <row r="307" spans="1:12" ht="18" customHeight="1" x14ac:dyDescent="0.25">
      <c r="A307" s="12"/>
      <c r="B307" s="11" t="s">
        <v>3190</v>
      </c>
      <c r="C307" s="11" t="str">
        <f>IFERROR(VLOOKUP(B307,[1]customers!$A:$B,2,0),"")</f>
        <v/>
      </c>
      <c r="D307" s="11" t="s">
        <v>3191</v>
      </c>
      <c r="E307" s="11" t="str" cm="1">
        <f t="array" ref="E307">IF(Table15[[#This Row],[Scott Correction]]="",Table15[[#This Row],[customer_id]],_xlfn.XLOOKUP(Table15[[#This Row],[Scott Correction]],[1]!Table2[[#All],[name]],[1]!Table2[[#All],[id]],"",0,1))</f>
        <v/>
      </c>
      <c r="F307" s="11" t="s">
        <v>4353</v>
      </c>
      <c r="G307" s="11" t="s">
        <v>4357</v>
      </c>
      <c r="H307" s="11"/>
      <c r="I307" s="11" t="s">
        <v>4358</v>
      </c>
      <c r="J307" s="11"/>
      <c r="K307" s="11" t="s">
        <v>4359</v>
      </c>
      <c r="L307" s="13"/>
    </row>
    <row r="308" spans="1:12" ht="18" customHeight="1" x14ac:dyDescent="0.25">
      <c r="A308" s="12"/>
      <c r="B308" s="11" t="s">
        <v>3190</v>
      </c>
      <c r="C308" s="11" t="str">
        <f>IFERROR(VLOOKUP(B308,[1]customers!$A:$B,2,0),"")</f>
        <v/>
      </c>
      <c r="D308" s="11" t="s">
        <v>3191</v>
      </c>
      <c r="E308" s="11" t="str" cm="1">
        <f t="array" ref="E308">IF(Table15[[#This Row],[Scott Correction]]="",Table15[[#This Row],[customer_id]],_xlfn.XLOOKUP(Table15[[#This Row],[Scott Correction]],[1]!Table2[[#All],[name]],[1]!Table2[[#All],[id]],"",0,1))</f>
        <v/>
      </c>
      <c r="F308" s="11" t="s">
        <v>4360</v>
      </c>
      <c r="G308" s="11" t="s">
        <v>4361</v>
      </c>
      <c r="H308" s="11"/>
      <c r="I308" s="11"/>
      <c r="J308" s="11"/>
      <c r="K308" s="11" t="s">
        <v>4362</v>
      </c>
      <c r="L308" s="13"/>
    </row>
    <row r="309" spans="1:12" ht="18" customHeight="1" x14ac:dyDescent="0.25">
      <c r="A309" s="12"/>
      <c r="B309" s="11" t="s">
        <v>3190</v>
      </c>
      <c r="C309" s="11" t="str">
        <f>IFERROR(VLOOKUP(B309,[1]customers!$A:$B,2,0),"")</f>
        <v/>
      </c>
      <c r="D309" s="11" t="s">
        <v>3191</v>
      </c>
      <c r="E309" s="11" t="str" cm="1">
        <f t="array" ref="E309">IF(Table15[[#This Row],[Scott Correction]]="",Table15[[#This Row],[customer_id]],_xlfn.XLOOKUP(Table15[[#This Row],[Scott Correction]],[1]!Table2[[#All],[name]],[1]!Table2[[#All],[id]],"",0,1))</f>
        <v/>
      </c>
      <c r="F309" s="11" t="s">
        <v>4363</v>
      </c>
      <c r="G309" s="11" t="s">
        <v>4364</v>
      </c>
      <c r="H309" s="11"/>
      <c r="I309" s="11" t="s">
        <v>4365</v>
      </c>
      <c r="J309" s="11" t="s">
        <v>4366</v>
      </c>
      <c r="K309" s="11" t="s">
        <v>4367</v>
      </c>
      <c r="L309" s="13"/>
    </row>
    <row r="310" spans="1:12" ht="18" customHeight="1" x14ac:dyDescent="0.25">
      <c r="A310" s="12"/>
      <c r="B310" s="11" t="s">
        <v>3190</v>
      </c>
      <c r="C310" s="11" t="str">
        <f>IFERROR(VLOOKUP(B310,[1]customers!$A:$B,2,0),"")</f>
        <v/>
      </c>
      <c r="D310" s="11" t="s">
        <v>3191</v>
      </c>
      <c r="E310" s="11" t="str" cm="1">
        <f t="array" ref="E310">IF(Table15[[#This Row],[Scott Correction]]="",Table15[[#This Row],[customer_id]],_xlfn.XLOOKUP(Table15[[#This Row],[Scott Correction]],[1]!Table2[[#All],[name]],[1]!Table2[[#All],[id]],"",0,1))</f>
        <v/>
      </c>
      <c r="F310" s="11" t="s">
        <v>4368</v>
      </c>
      <c r="G310" s="11" t="s">
        <v>4369</v>
      </c>
      <c r="H310" s="11"/>
      <c r="I310" s="11"/>
      <c r="J310" s="11" t="s">
        <v>4370</v>
      </c>
      <c r="K310" s="11" t="s">
        <v>4371</v>
      </c>
      <c r="L310" s="13"/>
    </row>
    <row r="311" spans="1:12" ht="18" customHeight="1" x14ac:dyDescent="0.25">
      <c r="A311" s="8"/>
      <c r="B311" s="9">
        <v>397</v>
      </c>
      <c r="C311" s="6" t="str">
        <f>IFERROR(VLOOKUP(B311,[1]customers!$A:$B,2,0),"")</f>
        <v>M&amp;L Equipment</v>
      </c>
      <c r="D311" s="6" t="s">
        <v>3191</v>
      </c>
      <c r="E311" s="6" t="str" cm="1">
        <f t="array" ref="E311">IF(Table15[[#This Row],[Scott Correction]]="",Table15[[#This Row],[customer_id]],_xlfn.XLOOKUP(Table15[[#This Row],[Scott Correction]],[1]!Table2[[#All],[name]],[1]!Table2[[#All],[id]],"",0,1))</f>
        <v/>
      </c>
      <c r="F311" s="9" t="s">
        <v>4372</v>
      </c>
      <c r="G311" s="9" t="s">
        <v>4373</v>
      </c>
      <c r="H311" s="9"/>
      <c r="I311" s="9" t="s">
        <v>4374</v>
      </c>
      <c r="J311" s="9" t="s">
        <v>4375</v>
      </c>
      <c r="K311" s="9" t="s">
        <v>4376</v>
      </c>
      <c r="L311" s="10"/>
    </row>
    <row r="312" spans="1:12" ht="18" customHeight="1" x14ac:dyDescent="0.25">
      <c r="A312" s="12"/>
      <c r="B312" s="11" t="s">
        <v>3190</v>
      </c>
      <c r="C312" s="11" t="str">
        <f>IFERROR(VLOOKUP(B312,[1]customers!$A:$B,2,0),"")</f>
        <v/>
      </c>
      <c r="D312" s="11" t="s">
        <v>3191</v>
      </c>
      <c r="E312" s="11" t="str" cm="1">
        <f t="array" ref="E312">IF(Table15[[#This Row],[Scott Correction]]="",Table15[[#This Row],[customer_id]],_xlfn.XLOOKUP(Table15[[#This Row],[Scott Correction]],[1]!Table2[[#All],[name]],[1]!Table2[[#All],[id]],"",0,1))</f>
        <v/>
      </c>
      <c r="F312" s="11" t="s">
        <v>4377</v>
      </c>
      <c r="G312" s="11" t="s">
        <v>4378</v>
      </c>
      <c r="H312" s="11"/>
      <c r="I312" s="11" t="s">
        <v>4379</v>
      </c>
      <c r="J312" s="11"/>
      <c r="K312" s="11">
        <v>3305021700</v>
      </c>
      <c r="L312" s="13"/>
    </row>
    <row r="313" spans="1:12" ht="18" customHeight="1" x14ac:dyDescent="0.25">
      <c r="A313" s="4"/>
      <c r="B313" s="5">
        <v>278</v>
      </c>
      <c r="C313" s="6" t="str">
        <f>IFERROR(VLOOKUP(B313,[1]customers!$A:$B,2,0),"")</f>
        <v>Gear Products</v>
      </c>
      <c r="D313" s="6" t="s">
        <v>3191</v>
      </c>
      <c r="E313" s="6" t="str" cm="1">
        <f t="array" ref="E313">IF(Table15[[#This Row],[Scott Correction]]="",Table15[[#This Row],[customer_id]],_xlfn.XLOOKUP(Table15[[#This Row],[Scott Correction]],[1]!Table2[[#All],[name]],[1]!Table2[[#All],[id]],"",0,1))</f>
        <v/>
      </c>
      <c r="F313" s="5" t="s">
        <v>4380</v>
      </c>
      <c r="G313" s="5" t="s">
        <v>4381</v>
      </c>
      <c r="H313" s="5"/>
      <c r="I313" s="5" t="s">
        <v>4382</v>
      </c>
      <c r="J313" s="5"/>
      <c r="K313" s="5" t="s">
        <v>4383</v>
      </c>
      <c r="L313" s="7"/>
    </row>
    <row r="314" spans="1:12" ht="18" customHeight="1" x14ac:dyDescent="0.25">
      <c r="A314" s="12"/>
      <c r="B314" s="11" t="s">
        <v>3190</v>
      </c>
      <c r="C314" s="11" t="str">
        <f>IFERROR(VLOOKUP(B314,[1]customers!$A:$B,2,0),"")</f>
        <v/>
      </c>
      <c r="D314" s="11" t="s">
        <v>3191</v>
      </c>
      <c r="E314" s="11" t="str" cm="1">
        <f t="array" ref="E314">IF(Table15[[#This Row],[Scott Correction]]="",Table15[[#This Row],[customer_id]],_xlfn.XLOOKUP(Table15[[#This Row],[Scott Correction]],[1]!Table2[[#All],[name]],[1]!Table2[[#All],[id]],"",0,1))</f>
        <v/>
      </c>
      <c r="F314" s="11" t="s">
        <v>4384</v>
      </c>
      <c r="G314" s="11" t="s">
        <v>4385</v>
      </c>
      <c r="H314" s="11"/>
      <c r="I314" s="11" t="s">
        <v>4386</v>
      </c>
      <c r="J314" s="11"/>
      <c r="K314" s="11" t="s">
        <v>4387</v>
      </c>
      <c r="L314" s="13"/>
    </row>
    <row r="315" spans="1:12" ht="18" customHeight="1" x14ac:dyDescent="0.25">
      <c r="A315" s="12"/>
      <c r="B315" s="11" t="s">
        <v>3190</v>
      </c>
      <c r="C315" s="11" t="str">
        <f>IFERROR(VLOOKUP(B315,[1]customers!$A:$B,2,0),"")</f>
        <v/>
      </c>
      <c r="D315" s="11" t="s">
        <v>3191</v>
      </c>
      <c r="E315" s="11" t="str" cm="1">
        <f t="array" ref="E315">IF(Table15[[#This Row],[Scott Correction]]="",Table15[[#This Row],[customer_id]],_xlfn.XLOOKUP(Table15[[#This Row],[Scott Correction]],[1]!Table2[[#All],[name]],[1]!Table2[[#All],[id]],"",0,1))</f>
        <v/>
      </c>
      <c r="F315" s="11" t="s">
        <v>4388</v>
      </c>
      <c r="G315" s="11" t="s">
        <v>4389</v>
      </c>
      <c r="H315" s="11"/>
      <c r="I315" s="11" t="s">
        <v>4390</v>
      </c>
      <c r="J315" s="11" t="s">
        <v>4391</v>
      </c>
      <c r="K315" s="11" t="s">
        <v>4392</v>
      </c>
      <c r="L315" s="13"/>
    </row>
    <row r="316" spans="1:12" ht="18" customHeight="1" x14ac:dyDescent="0.25">
      <c r="A316" s="8"/>
      <c r="B316" s="9">
        <v>176</v>
      </c>
      <c r="C316" s="6" t="str">
        <f>IFERROR(VLOOKUP(B316,[1]customers!$A:$B,2,0),"")</f>
        <v>Dacon Industries</v>
      </c>
      <c r="D316" s="6" t="s">
        <v>3191</v>
      </c>
      <c r="E316" s="6" t="str" cm="1">
        <f t="array" ref="E316">IF(Table15[[#This Row],[Scott Correction]]="",Table15[[#This Row],[customer_id]],_xlfn.XLOOKUP(Table15[[#This Row],[Scott Correction]],[1]!Table2[[#All],[name]],[1]!Table2[[#All],[id]],"",0,1))</f>
        <v/>
      </c>
      <c r="F316" s="9" t="s">
        <v>4393</v>
      </c>
      <c r="G316" s="9" t="s">
        <v>4394</v>
      </c>
      <c r="H316" s="9"/>
      <c r="I316" s="9" t="s">
        <v>4395</v>
      </c>
      <c r="J316" s="9"/>
      <c r="K316" s="9" t="s">
        <v>4396</v>
      </c>
      <c r="L316" s="10"/>
    </row>
    <row r="317" spans="1:12" ht="18" customHeight="1" x14ac:dyDescent="0.25">
      <c r="A317" s="4"/>
      <c r="B317" s="5">
        <v>117</v>
      </c>
      <c r="C317" s="6" t="str">
        <f>IFERROR(VLOOKUP(B317,[1]customers!$A:$B,2,0),"")</f>
        <v>C&amp;B Machine Inc</v>
      </c>
      <c r="D317" s="6" t="s">
        <v>3191</v>
      </c>
      <c r="E317" s="6" t="str" cm="1">
        <f t="array" ref="E317">IF(Table15[[#This Row],[Scott Correction]]="",Table15[[#This Row],[customer_id]],_xlfn.XLOOKUP(Table15[[#This Row],[Scott Correction]],[1]!Table2[[#All],[name]],[1]!Table2[[#All],[id]],"",0,1))</f>
        <v/>
      </c>
      <c r="F317" s="5" t="s">
        <v>4397</v>
      </c>
      <c r="G317" s="5" t="s">
        <v>4398</v>
      </c>
      <c r="H317" s="5"/>
      <c r="I317" s="5" t="s">
        <v>4399</v>
      </c>
      <c r="J317" s="5"/>
      <c r="K317" s="5">
        <v>3046386131</v>
      </c>
      <c r="L317" s="7"/>
    </row>
    <row r="318" spans="1:12" ht="18" customHeight="1" x14ac:dyDescent="0.25">
      <c r="A318" s="12"/>
      <c r="B318" s="11" t="s">
        <v>3190</v>
      </c>
      <c r="C318" s="11" t="str">
        <f>IFERROR(VLOOKUP(B318,[1]customers!$A:$B,2,0),"")</f>
        <v/>
      </c>
      <c r="D318" s="11" t="s">
        <v>3191</v>
      </c>
      <c r="E318" s="11" t="str" cm="1">
        <f t="array" ref="E318">IF(Table15[[#This Row],[Scott Correction]]="",Table15[[#This Row],[customer_id]],_xlfn.XLOOKUP(Table15[[#This Row],[Scott Correction]],[1]!Table2[[#All],[name]],[1]!Table2[[#All],[id]],"",0,1))</f>
        <v/>
      </c>
      <c r="F318" s="11" t="s">
        <v>4400</v>
      </c>
      <c r="G318" s="11" t="s">
        <v>4401</v>
      </c>
      <c r="H318" s="11"/>
      <c r="I318" s="11"/>
      <c r="J318" s="11" t="s">
        <v>4402</v>
      </c>
      <c r="K318" s="11" t="s">
        <v>4403</v>
      </c>
      <c r="L318" s="13"/>
    </row>
    <row r="319" spans="1:12" ht="18" customHeight="1" x14ac:dyDescent="0.25">
      <c r="A319" s="8"/>
      <c r="B319" s="9">
        <v>591</v>
      </c>
      <c r="C319" s="6" t="str">
        <f>IFERROR(VLOOKUP(B319,[1]customers!$A:$B,2,0),"")</f>
        <v>S&amp;A Industries</v>
      </c>
      <c r="D319" s="6" t="s">
        <v>3191</v>
      </c>
      <c r="E319" s="6" t="str" cm="1">
        <f t="array" ref="E319">IF(Table15[[#This Row],[Scott Correction]]="",Table15[[#This Row],[customer_id]],_xlfn.XLOOKUP(Table15[[#This Row],[Scott Correction]],[1]!Table2[[#All],[name]],[1]!Table2[[#All],[id]],"",0,1))</f>
        <v/>
      </c>
      <c r="F319" s="9" t="s">
        <v>4404</v>
      </c>
      <c r="G319" s="9" t="s">
        <v>4405</v>
      </c>
      <c r="H319" s="9"/>
      <c r="I319" s="9" t="s">
        <v>4406</v>
      </c>
      <c r="J319" s="9"/>
      <c r="K319" s="9" t="s">
        <v>4407</v>
      </c>
      <c r="L319" s="10"/>
    </row>
    <row r="320" spans="1:12" ht="18" customHeight="1" x14ac:dyDescent="0.25">
      <c r="A320" s="12"/>
      <c r="B320" s="11" t="s">
        <v>3190</v>
      </c>
      <c r="C320" s="11" t="str">
        <f>IFERROR(VLOOKUP(B320,[1]customers!$A:$B,2,0),"")</f>
        <v/>
      </c>
      <c r="D320" s="11" t="s">
        <v>3191</v>
      </c>
      <c r="E320" s="11" t="str" cm="1">
        <f t="array" ref="E320">IF(Table15[[#This Row],[Scott Correction]]="",Table15[[#This Row],[customer_id]],_xlfn.XLOOKUP(Table15[[#This Row],[Scott Correction]],[1]!Table2[[#All],[name]],[1]!Table2[[#All],[id]],"",0,1))</f>
        <v/>
      </c>
      <c r="F320" s="11" t="s">
        <v>4408</v>
      </c>
      <c r="G320" s="11" t="s">
        <v>4409</v>
      </c>
      <c r="H320" s="11"/>
      <c r="I320" s="11" t="s">
        <v>4410</v>
      </c>
      <c r="J320" s="11" t="s">
        <v>4411</v>
      </c>
      <c r="K320" s="11" t="s">
        <v>4412</v>
      </c>
      <c r="L320" s="13"/>
    </row>
    <row r="321" spans="1:12" ht="18" customHeight="1" x14ac:dyDescent="0.25">
      <c r="A321" s="12"/>
      <c r="B321" s="11" t="s">
        <v>3190</v>
      </c>
      <c r="C321" s="11" t="str">
        <f>IFERROR(VLOOKUP(B321,[1]customers!$A:$B,2,0),"")</f>
        <v/>
      </c>
      <c r="D321" s="11" t="s">
        <v>3191</v>
      </c>
      <c r="E321" s="11" t="str" cm="1">
        <f t="array" ref="E321">IF(Table15[[#This Row],[Scott Correction]]="",Table15[[#This Row],[customer_id]],_xlfn.XLOOKUP(Table15[[#This Row],[Scott Correction]],[1]!Table2[[#All],[name]],[1]!Table2[[#All],[id]],"",0,1))</f>
        <v/>
      </c>
      <c r="F321" s="11" t="s">
        <v>4413</v>
      </c>
      <c r="G321" s="11" t="s">
        <v>4414</v>
      </c>
      <c r="H321" s="11"/>
      <c r="I321" s="11" t="s">
        <v>4415</v>
      </c>
      <c r="J321" s="11" t="s">
        <v>4416</v>
      </c>
      <c r="K321" s="11" t="s">
        <v>4417</v>
      </c>
      <c r="L321" s="13"/>
    </row>
    <row r="322" spans="1:12" ht="18" customHeight="1" x14ac:dyDescent="0.25">
      <c r="A322" s="12"/>
      <c r="B322" s="11" t="s">
        <v>3190</v>
      </c>
      <c r="C322" s="11" t="str">
        <f>IFERROR(VLOOKUP(B322,[1]customers!$A:$B,2,0),"")</f>
        <v/>
      </c>
      <c r="D322" s="11" t="s">
        <v>3191</v>
      </c>
      <c r="E322" s="11" t="str" cm="1">
        <f t="array" ref="E322">IF(Table15[[#This Row],[Scott Correction]]="",Table15[[#This Row],[customer_id]],_xlfn.XLOOKUP(Table15[[#This Row],[Scott Correction]],[1]!Table2[[#All],[name]],[1]!Table2[[#All],[id]],"",0,1))</f>
        <v/>
      </c>
      <c r="F322" s="11" t="s">
        <v>4418</v>
      </c>
      <c r="G322" s="11" t="s">
        <v>4419</v>
      </c>
      <c r="H322" s="11"/>
      <c r="I322" s="11"/>
      <c r="J322" s="11"/>
      <c r="K322" s="11">
        <v>3302060010</v>
      </c>
      <c r="L322" s="13"/>
    </row>
    <row r="323" spans="1:12" ht="18" customHeight="1" x14ac:dyDescent="0.25">
      <c r="A323" s="12"/>
      <c r="B323" s="11" t="s">
        <v>3190</v>
      </c>
      <c r="C323" s="11" t="str">
        <f>IFERROR(VLOOKUP(B323,[1]customers!$A:$B,2,0),"")</f>
        <v/>
      </c>
      <c r="D323" s="11" t="s">
        <v>3191</v>
      </c>
      <c r="E323" s="11" t="str" cm="1">
        <f t="array" ref="E323">IF(Table15[[#This Row],[Scott Correction]]="",Table15[[#This Row],[customer_id]],_xlfn.XLOOKUP(Table15[[#This Row],[Scott Correction]],[1]!Table2[[#All],[name]],[1]!Table2[[#All],[id]],"",0,1))</f>
        <v/>
      </c>
      <c r="F323" s="11" t="s">
        <v>4420</v>
      </c>
      <c r="G323" s="11" t="s">
        <v>4421</v>
      </c>
      <c r="H323" s="11"/>
      <c r="I323" s="11"/>
      <c r="J323" s="11" t="s">
        <v>4422</v>
      </c>
      <c r="K323" s="11" t="s">
        <v>4423</v>
      </c>
      <c r="L323" s="13"/>
    </row>
    <row r="324" spans="1:12" ht="18" customHeight="1" x14ac:dyDescent="0.25">
      <c r="A324" s="12"/>
      <c r="B324" s="11" t="s">
        <v>3190</v>
      </c>
      <c r="C324" s="11" t="str">
        <f>IFERROR(VLOOKUP(B324,[1]customers!$A:$B,2,0),"")</f>
        <v/>
      </c>
      <c r="D324" s="11" t="s">
        <v>3191</v>
      </c>
      <c r="E324" s="11" t="str" cm="1">
        <f t="array" ref="E324">IF(Table15[[#This Row],[Scott Correction]]="",Table15[[#This Row],[customer_id]],_xlfn.XLOOKUP(Table15[[#This Row],[Scott Correction]],[1]!Table2[[#All],[name]],[1]!Table2[[#All],[id]],"",0,1))</f>
        <v/>
      </c>
      <c r="F324" s="11" t="s">
        <v>4420</v>
      </c>
      <c r="G324" s="11" t="s">
        <v>4424</v>
      </c>
      <c r="H324" s="11"/>
      <c r="I324" s="11"/>
      <c r="J324" s="11"/>
      <c r="K324" s="11" t="s">
        <v>4425</v>
      </c>
      <c r="L324" s="13"/>
    </row>
    <row r="325" spans="1:12" ht="18" customHeight="1" x14ac:dyDescent="0.25">
      <c r="A325" s="12"/>
      <c r="B325" s="11" t="s">
        <v>3190</v>
      </c>
      <c r="C325" s="11" t="str">
        <f>IFERROR(VLOOKUP(B325,[1]customers!$A:$B,2,0),"")</f>
        <v/>
      </c>
      <c r="D325" s="11" t="s">
        <v>3191</v>
      </c>
      <c r="E325" s="11" t="str" cm="1">
        <f t="array" ref="E325">IF(Table15[[#This Row],[Scott Correction]]="",Table15[[#This Row],[customer_id]],_xlfn.XLOOKUP(Table15[[#This Row],[Scott Correction]],[1]!Table2[[#All],[name]],[1]!Table2[[#All],[id]],"",0,1))</f>
        <v/>
      </c>
      <c r="F325" s="11" t="s">
        <v>4426</v>
      </c>
      <c r="G325" s="11" t="s">
        <v>4427</v>
      </c>
      <c r="H325" s="11"/>
      <c r="I325" s="11" t="s">
        <v>4428</v>
      </c>
      <c r="J325" s="11"/>
      <c r="K325" s="11" t="s">
        <v>4429</v>
      </c>
      <c r="L325" s="13"/>
    </row>
    <row r="326" spans="1:12" ht="18" customHeight="1" x14ac:dyDescent="0.25">
      <c r="A326" s="12"/>
      <c r="B326" s="11" t="s">
        <v>3190</v>
      </c>
      <c r="C326" s="11" t="str">
        <f>IFERROR(VLOOKUP(B326,[1]customers!$A:$B,2,0),"")</f>
        <v/>
      </c>
      <c r="D326" s="11" t="s">
        <v>3191</v>
      </c>
      <c r="E326" s="11" t="str" cm="1">
        <f t="array" ref="E326">IF(Table15[[#This Row],[Scott Correction]]="",Table15[[#This Row],[customer_id]],_xlfn.XLOOKUP(Table15[[#This Row],[Scott Correction]],[1]!Table2[[#All],[name]],[1]!Table2[[#All],[id]],"",0,1))</f>
        <v/>
      </c>
      <c r="F326" s="11" t="s">
        <v>4430</v>
      </c>
      <c r="G326" s="11" t="s">
        <v>4431</v>
      </c>
      <c r="H326" s="11"/>
      <c r="I326" s="11" t="s">
        <v>4432</v>
      </c>
      <c r="J326" s="11" t="s">
        <v>4433</v>
      </c>
      <c r="K326" s="11"/>
      <c r="L326" s="13"/>
    </row>
    <row r="327" spans="1:12" ht="18" customHeight="1" x14ac:dyDescent="0.25">
      <c r="A327" s="12"/>
      <c r="B327" s="11" t="s">
        <v>3190</v>
      </c>
      <c r="C327" s="11" t="str">
        <f>IFERROR(VLOOKUP(B327,[1]customers!$A:$B,2,0),"")</f>
        <v/>
      </c>
      <c r="D327" s="11" t="s">
        <v>3191</v>
      </c>
      <c r="E327" s="11" t="str" cm="1">
        <f t="array" ref="E327">IF(Table15[[#This Row],[Scott Correction]]="",Table15[[#This Row],[customer_id]],_xlfn.XLOOKUP(Table15[[#This Row],[Scott Correction]],[1]!Table2[[#All],[name]],[1]!Table2[[#All],[id]],"",0,1))</f>
        <v/>
      </c>
      <c r="F327" s="11" t="s">
        <v>4434</v>
      </c>
      <c r="G327" s="11" t="s">
        <v>4435</v>
      </c>
      <c r="H327" s="11"/>
      <c r="I327" s="11" t="s">
        <v>4436</v>
      </c>
      <c r="J327" s="11"/>
      <c r="K327" s="11" t="s">
        <v>4437</v>
      </c>
      <c r="L327" s="13"/>
    </row>
    <row r="328" spans="1:12" ht="18" customHeight="1" x14ac:dyDescent="0.25">
      <c r="A328" s="8"/>
      <c r="B328" s="9">
        <v>390</v>
      </c>
      <c r="C328" s="6" t="str">
        <f>IFERROR(VLOOKUP(B328,[1]customers!$A:$B,2,0),"")</f>
        <v>Lextech Industries</v>
      </c>
      <c r="D328" s="6" t="s">
        <v>3191</v>
      </c>
      <c r="E328" s="6" t="str" cm="1">
        <f t="array" ref="E328">IF(Table15[[#This Row],[Scott Correction]]="",Table15[[#This Row],[customer_id]],_xlfn.XLOOKUP(Table15[[#This Row],[Scott Correction]],[1]!Table2[[#All],[name]],[1]!Table2[[#All],[id]],"",0,1))</f>
        <v/>
      </c>
      <c r="F328" s="9" t="s">
        <v>4438</v>
      </c>
      <c r="G328" s="9" t="s">
        <v>4439</v>
      </c>
      <c r="H328" s="9"/>
      <c r="I328" s="9" t="s">
        <v>4440</v>
      </c>
      <c r="J328" s="9"/>
      <c r="K328" s="9" t="s">
        <v>4441</v>
      </c>
      <c r="L328" s="10"/>
    </row>
    <row r="329" spans="1:12" ht="18" customHeight="1" x14ac:dyDescent="0.25">
      <c r="A329" s="12"/>
      <c r="B329" s="11" t="s">
        <v>3190</v>
      </c>
      <c r="C329" s="11" t="str">
        <f>IFERROR(VLOOKUP(B329,[1]customers!$A:$B,2,0),"")</f>
        <v/>
      </c>
      <c r="D329" s="11" t="s">
        <v>3191</v>
      </c>
      <c r="E329" s="11" t="str" cm="1">
        <f t="array" ref="E329">IF(Table15[[#This Row],[Scott Correction]]="",Table15[[#This Row],[customer_id]],_xlfn.XLOOKUP(Table15[[#This Row],[Scott Correction]],[1]!Table2[[#All],[name]],[1]!Table2[[#All],[id]],"",0,1))</f>
        <v/>
      </c>
      <c r="F329" s="11" t="s">
        <v>4442</v>
      </c>
      <c r="G329" s="11" t="s">
        <v>4443</v>
      </c>
      <c r="H329" s="11"/>
      <c r="I329" s="11" t="s">
        <v>4444</v>
      </c>
      <c r="J329" s="11"/>
      <c r="K329" s="11" t="s">
        <v>4445</v>
      </c>
      <c r="L329" s="13"/>
    </row>
    <row r="330" spans="1:12" ht="18" customHeight="1" x14ac:dyDescent="0.25">
      <c r="A330" s="12"/>
      <c r="B330" s="11" t="s">
        <v>3190</v>
      </c>
      <c r="C330" s="11" t="str">
        <f>IFERROR(VLOOKUP(B330,[1]customers!$A:$B,2,0),"")</f>
        <v/>
      </c>
      <c r="D330" s="11" t="s">
        <v>3191</v>
      </c>
      <c r="E330" s="11" t="str" cm="1">
        <f t="array" ref="E330">IF(Table15[[#This Row],[Scott Correction]]="",Table15[[#This Row],[customer_id]],_xlfn.XLOOKUP(Table15[[#This Row],[Scott Correction]],[1]!Table2[[#All],[name]],[1]!Table2[[#All],[id]],"",0,1))</f>
        <v/>
      </c>
      <c r="F330" s="11" t="s">
        <v>4446</v>
      </c>
      <c r="G330" s="11" t="s">
        <v>4447</v>
      </c>
      <c r="H330" s="11"/>
      <c r="I330" s="11" t="s">
        <v>4448</v>
      </c>
      <c r="J330" s="11"/>
      <c r="K330" s="11" t="s">
        <v>4449</v>
      </c>
      <c r="L330" s="13"/>
    </row>
    <row r="331" spans="1:12" ht="18" customHeight="1" x14ac:dyDescent="0.25">
      <c r="A331" s="12"/>
      <c r="B331" s="11" t="s">
        <v>3190</v>
      </c>
      <c r="C331" s="11" t="str">
        <f>IFERROR(VLOOKUP(B331,[1]customers!$A:$B,2,0),"")</f>
        <v/>
      </c>
      <c r="D331" s="11" t="s">
        <v>3191</v>
      </c>
      <c r="E331" s="11" t="str" cm="1">
        <f t="array" ref="E331">IF(Table15[[#This Row],[Scott Correction]]="",Table15[[#This Row],[customer_id]],_xlfn.XLOOKUP(Table15[[#This Row],[Scott Correction]],[1]!Table2[[#All],[name]],[1]!Table2[[#All],[id]],"",0,1))</f>
        <v/>
      </c>
      <c r="F331" s="11" t="s">
        <v>4450</v>
      </c>
      <c r="G331" s="11" t="s">
        <v>4451</v>
      </c>
      <c r="H331" s="11"/>
      <c r="I331" s="11" t="s">
        <v>4452</v>
      </c>
      <c r="J331" s="11"/>
      <c r="K331" s="11" t="s">
        <v>4453</v>
      </c>
      <c r="L331" s="13"/>
    </row>
    <row r="332" spans="1:12" ht="18" customHeight="1" x14ac:dyDescent="0.25">
      <c r="A332" s="12"/>
      <c r="B332" s="11" t="s">
        <v>3190</v>
      </c>
      <c r="C332" s="11" t="str">
        <f>IFERROR(VLOOKUP(B332,[1]customers!$A:$B,2,0),"")</f>
        <v/>
      </c>
      <c r="D332" s="11" t="s">
        <v>3191</v>
      </c>
      <c r="E332" s="11" t="str" cm="1">
        <f t="array" ref="E332">IF(Table15[[#This Row],[Scott Correction]]="",Table15[[#This Row],[customer_id]],_xlfn.XLOOKUP(Table15[[#This Row],[Scott Correction]],[1]!Table2[[#All],[name]],[1]!Table2[[#All],[id]],"",0,1))</f>
        <v/>
      </c>
      <c r="F332" s="11" t="s">
        <v>4454</v>
      </c>
      <c r="G332" s="11" t="s">
        <v>4455</v>
      </c>
      <c r="H332" s="11"/>
      <c r="I332" s="11" t="s">
        <v>4456</v>
      </c>
      <c r="J332" s="11"/>
      <c r="K332" s="11" t="s">
        <v>4457</v>
      </c>
      <c r="L332" s="13"/>
    </row>
    <row r="333" spans="1:12" ht="18" customHeight="1" x14ac:dyDescent="0.25">
      <c r="A333" s="8"/>
      <c r="B333" s="9">
        <v>214</v>
      </c>
      <c r="C333" s="6" t="str">
        <f>IFERROR(VLOOKUP(B333,[1]customers!$A:$B,2,0),"")</f>
        <v>Eaton Corporation</v>
      </c>
      <c r="D333" s="6" t="s">
        <v>3191</v>
      </c>
      <c r="E333" s="6" t="str" cm="1">
        <f t="array" ref="E333">IF(Table15[[#This Row],[Scott Correction]]="",Table15[[#This Row],[customer_id]],_xlfn.XLOOKUP(Table15[[#This Row],[Scott Correction]],[1]!Table2[[#All],[name]],[1]!Table2[[#All],[id]],"",0,1))</f>
        <v/>
      </c>
      <c r="F333" s="9" t="s">
        <v>4458</v>
      </c>
      <c r="G333" s="9" t="s">
        <v>4459</v>
      </c>
      <c r="H333" s="9"/>
      <c r="I333" s="9"/>
      <c r="J333" s="9"/>
      <c r="K333" s="9" t="s">
        <v>4460</v>
      </c>
      <c r="L333" s="10"/>
    </row>
    <row r="334" spans="1:12" ht="18" customHeight="1" x14ac:dyDescent="0.25">
      <c r="A334" s="12"/>
      <c r="B334" s="11" t="s">
        <v>3190</v>
      </c>
      <c r="C334" s="11" t="str">
        <f>IFERROR(VLOOKUP(B334,[1]customers!$A:$B,2,0),"")</f>
        <v/>
      </c>
      <c r="D334" s="11" t="s">
        <v>3191</v>
      </c>
      <c r="E334" s="11" t="str" cm="1">
        <f t="array" ref="E334">IF(Table15[[#This Row],[Scott Correction]]="",Table15[[#This Row],[customer_id]],_xlfn.XLOOKUP(Table15[[#This Row],[Scott Correction]],[1]!Table2[[#All],[name]],[1]!Table2[[#All],[id]],"",0,1))</f>
        <v/>
      </c>
      <c r="F334" s="11" t="s">
        <v>4461</v>
      </c>
      <c r="G334" s="11" t="s">
        <v>4462</v>
      </c>
      <c r="H334" s="11"/>
      <c r="I334" s="11" t="s">
        <v>4463</v>
      </c>
      <c r="J334" s="11" t="s">
        <v>4464</v>
      </c>
      <c r="K334" s="11" t="s">
        <v>4465</v>
      </c>
      <c r="L334" s="13"/>
    </row>
    <row r="335" spans="1:12" ht="18" customHeight="1" x14ac:dyDescent="0.25">
      <c r="A335" s="12"/>
      <c r="B335" s="11" t="s">
        <v>3190</v>
      </c>
      <c r="C335" s="11" t="str">
        <f>IFERROR(VLOOKUP(B335,[1]customers!$A:$B,2,0),"")</f>
        <v/>
      </c>
      <c r="D335" s="11" t="s">
        <v>3191</v>
      </c>
      <c r="E335" s="11" t="str" cm="1">
        <f t="array" ref="E335">IF(Table15[[#This Row],[Scott Correction]]="",Table15[[#This Row],[customer_id]],_xlfn.XLOOKUP(Table15[[#This Row],[Scott Correction]],[1]!Table2[[#All],[name]],[1]!Table2[[#All],[id]],"",0,1))</f>
        <v/>
      </c>
      <c r="F335" s="11" t="s">
        <v>4461</v>
      </c>
      <c r="G335" s="11" t="s">
        <v>4466</v>
      </c>
      <c r="H335" s="11"/>
      <c r="I335" s="11" t="s">
        <v>4467</v>
      </c>
      <c r="J335" s="11" t="s">
        <v>4468</v>
      </c>
      <c r="K335" s="11" t="s">
        <v>4469</v>
      </c>
      <c r="L335" s="13"/>
    </row>
    <row r="336" spans="1:12" ht="18" customHeight="1" x14ac:dyDescent="0.25">
      <c r="A336" s="12"/>
      <c r="B336" s="11" t="s">
        <v>3190</v>
      </c>
      <c r="C336" s="11" t="str">
        <f>IFERROR(VLOOKUP(B336,[1]customers!$A:$B,2,0),"")</f>
        <v/>
      </c>
      <c r="D336" s="11" t="s">
        <v>3191</v>
      </c>
      <c r="E336" s="11" t="str" cm="1">
        <f t="array" ref="E336">IF(Table15[[#This Row],[Scott Correction]]="",Table15[[#This Row],[customer_id]],_xlfn.XLOOKUP(Table15[[#This Row],[Scott Correction]],[1]!Table2[[#All],[name]],[1]!Table2[[#All],[id]],"",0,1))</f>
        <v/>
      </c>
      <c r="F336" s="11" t="s">
        <v>4461</v>
      </c>
      <c r="G336" s="11" t="s">
        <v>4470</v>
      </c>
      <c r="H336" s="11"/>
      <c r="I336" s="11" t="s">
        <v>4471</v>
      </c>
      <c r="J336" s="11" t="s">
        <v>4472</v>
      </c>
      <c r="K336" s="11" t="s">
        <v>4473</v>
      </c>
      <c r="L336" s="13"/>
    </row>
    <row r="337" spans="1:12" ht="18" customHeight="1" x14ac:dyDescent="0.25">
      <c r="A337" s="8"/>
      <c r="B337" s="9">
        <v>568</v>
      </c>
      <c r="C337" s="6" t="str">
        <f>IFERROR(VLOOKUP(B337,[1]customers!$A:$B,2,0),"")</f>
        <v>RJ Martin Electric</v>
      </c>
      <c r="D337" s="6" t="s">
        <v>3191</v>
      </c>
      <c r="E337" s="6" t="str" cm="1">
        <f t="array" ref="E337">IF(Table15[[#This Row],[Scott Correction]]="",Table15[[#This Row],[customer_id]],_xlfn.XLOOKUP(Table15[[#This Row],[Scott Correction]],[1]!Table2[[#All],[name]],[1]!Table2[[#All],[id]],"",0,1))</f>
        <v/>
      </c>
      <c r="F337" s="9" t="s">
        <v>4474</v>
      </c>
      <c r="G337" s="9" t="s">
        <v>4475</v>
      </c>
      <c r="H337" s="9"/>
      <c r="I337" s="9" t="s">
        <v>4476</v>
      </c>
      <c r="J337" s="9"/>
      <c r="K337" s="9" t="s">
        <v>4477</v>
      </c>
      <c r="L337" s="10"/>
    </row>
    <row r="338" spans="1:12" ht="18" customHeight="1" x14ac:dyDescent="0.25">
      <c r="A338" s="12"/>
      <c r="B338" s="11" t="s">
        <v>3190</v>
      </c>
      <c r="C338" s="11" t="str">
        <f>IFERROR(VLOOKUP(B338,[1]customers!$A:$B,2,0),"")</f>
        <v/>
      </c>
      <c r="D338" s="11" t="s">
        <v>3191</v>
      </c>
      <c r="E338" s="11" t="str" cm="1">
        <f t="array" ref="E338">IF(Table15[[#This Row],[Scott Correction]]="",Table15[[#This Row],[customer_id]],_xlfn.XLOOKUP(Table15[[#This Row],[Scott Correction]],[1]!Table2[[#All],[name]],[1]!Table2[[#All],[id]],"",0,1))</f>
        <v/>
      </c>
      <c r="F338" s="11" t="s">
        <v>4478</v>
      </c>
      <c r="G338" s="11" t="s">
        <v>4479</v>
      </c>
      <c r="H338" s="11"/>
      <c r="I338" s="11" t="s">
        <v>4480</v>
      </c>
      <c r="J338" s="11"/>
      <c r="K338" s="11" t="s">
        <v>4481</v>
      </c>
      <c r="L338" s="13"/>
    </row>
    <row r="339" spans="1:12" ht="18" customHeight="1" x14ac:dyDescent="0.25">
      <c r="A339" s="12"/>
      <c r="B339" s="11" t="s">
        <v>3190</v>
      </c>
      <c r="C339" s="11" t="str">
        <f>IFERROR(VLOOKUP(B339,[1]customers!$A:$B,2,0),"")</f>
        <v/>
      </c>
      <c r="D339" s="11" t="s">
        <v>3191</v>
      </c>
      <c r="E339" s="11" t="str" cm="1">
        <f t="array" ref="E339">IF(Table15[[#This Row],[Scott Correction]]="",Table15[[#This Row],[customer_id]],_xlfn.XLOOKUP(Table15[[#This Row],[Scott Correction]],[1]!Table2[[#All],[name]],[1]!Table2[[#All],[id]],"",0,1))</f>
        <v/>
      </c>
      <c r="F339" s="11" t="s">
        <v>4482</v>
      </c>
      <c r="G339" s="11" t="s">
        <v>4483</v>
      </c>
      <c r="H339" s="11"/>
      <c r="I339" s="11"/>
      <c r="J339" s="11"/>
      <c r="K339" s="11"/>
      <c r="L339" s="13"/>
    </row>
    <row r="340" spans="1:12" ht="18" customHeight="1" x14ac:dyDescent="0.25">
      <c r="A340" s="12"/>
      <c r="B340" s="11" t="s">
        <v>3190</v>
      </c>
      <c r="C340" s="11" t="str">
        <f>IFERROR(VLOOKUP(B340,[1]customers!$A:$B,2,0),"")</f>
        <v/>
      </c>
      <c r="D340" s="11" t="s">
        <v>3191</v>
      </c>
      <c r="E340" s="11" t="str" cm="1">
        <f t="array" ref="E340">IF(Table15[[#This Row],[Scott Correction]]="",Table15[[#This Row],[customer_id]],_xlfn.XLOOKUP(Table15[[#This Row],[Scott Correction]],[1]!Table2[[#All],[name]],[1]!Table2[[#All],[id]],"",0,1))</f>
        <v/>
      </c>
      <c r="F340" s="11" t="s">
        <v>4484</v>
      </c>
      <c r="G340" s="11" t="s">
        <v>4483</v>
      </c>
      <c r="H340" s="11"/>
      <c r="I340" s="11" t="s">
        <v>4485</v>
      </c>
      <c r="J340" s="11"/>
      <c r="K340" s="11">
        <v>3306749744</v>
      </c>
      <c r="L340" s="13"/>
    </row>
    <row r="341" spans="1:12" ht="18" customHeight="1" x14ac:dyDescent="0.25">
      <c r="A341" s="4"/>
      <c r="B341" s="5">
        <v>489</v>
      </c>
      <c r="C341" s="6" t="str">
        <f>IFERROR(VLOOKUP(B341,[1]customers!$A:$B,2,0),"")</f>
        <v>Pan Logistics</v>
      </c>
      <c r="D341" s="6" t="s">
        <v>3191</v>
      </c>
      <c r="E341" s="6" t="str" cm="1">
        <f t="array" ref="E341">IF(Table15[[#This Row],[Scott Correction]]="",Table15[[#This Row],[customer_id]],_xlfn.XLOOKUP(Table15[[#This Row],[Scott Correction]],[1]!Table2[[#All],[name]],[1]!Table2[[#All],[id]],"",0,1))</f>
        <v/>
      </c>
      <c r="F341" s="5" t="s">
        <v>4486</v>
      </c>
      <c r="G341" s="5" t="s">
        <v>4487</v>
      </c>
      <c r="H341" s="5"/>
      <c r="I341" s="5" t="s">
        <v>4488</v>
      </c>
      <c r="J341" s="5" t="s">
        <v>4489</v>
      </c>
      <c r="K341" s="5" t="s">
        <v>4490</v>
      </c>
      <c r="L341" s="7"/>
    </row>
    <row r="342" spans="1:12" ht="18" customHeight="1" x14ac:dyDescent="0.25">
      <c r="A342" s="12"/>
      <c r="B342" s="11" t="s">
        <v>3190</v>
      </c>
      <c r="C342" s="11" t="str">
        <f>IFERROR(VLOOKUP(B342,[1]customers!$A:$B,2,0),"")</f>
        <v/>
      </c>
      <c r="D342" s="11" t="s">
        <v>3191</v>
      </c>
      <c r="E342" s="11" t="str" cm="1">
        <f t="array" ref="E342">IF(Table15[[#This Row],[Scott Correction]]="",Table15[[#This Row],[customer_id]],_xlfn.XLOOKUP(Table15[[#This Row],[Scott Correction]],[1]!Table2[[#All],[name]],[1]!Table2[[#All],[id]],"",0,1))</f>
        <v/>
      </c>
      <c r="F342" s="11" t="s">
        <v>4491</v>
      </c>
      <c r="G342" s="11" t="s">
        <v>4492</v>
      </c>
      <c r="H342" s="11"/>
      <c r="I342" s="11" t="s">
        <v>4493</v>
      </c>
      <c r="J342" s="11" t="s">
        <v>4494</v>
      </c>
      <c r="K342" s="11" t="s">
        <v>4495</v>
      </c>
      <c r="L342" s="13"/>
    </row>
    <row r="343" spans="1:12" ht="18" customHeight="1" x14ac:dyDescent="0.25">
      <c r="A343" s="12"/>
      <c r="B343" s="11" t="s">
        <v>3190</v>
      </c>
      <c r="C343" s="11" t="str">
        <f>IFERROR(VLOOKUP(B343,[1]customers!$A:$B,2,0),"")</f>
        <v/>
      </c>
      <c r="D343" s="11" t="s">
        <v>3191</v>
      </c>
      <c r="E343" s="11" t="str" cm="1">
        <f t="array" ref="E343">IF(Table15[[#This Row],[Scott Correction]]="",Table15[[#This Row],[customer_id]],_xlfn.XLOOKUP(Table15[[#This Row],[Scott Correction]],[1]!Table2[[#All],[name]],[1]!Table2[[#All],[id]],"",0,1))</f>
        <v/>
      </c>
      <c r="F343" s="11" t="s">
        <v>4496</v>
      </c>
      <c r="G343" s="11" t="s">
        <v>4497</v>
      </c>
      <c r="H343" s="11"/>
      <c r="I343" s="11" t="s">
        <v>4498</v>
      </c>
      <c r="J343" s="11" t="s">
        <v>4499</v>
      </c>
      <c r="K343" s="11" t="s">
        <v>4500</v>
      </c>
      <c r="L343" s="13"/>
    </row>
    <row r="344" spans="1:12" ht="18" customHeight="1" x14ac:dyDescent="0.25">
      <c r="A344" s="12"/>
      <c r="B344" s="11" t="s">
        <v>3190</v>
      </c>
      <c r="C344" s="11" t="str">
        <f>IFERROR(VLOOKUP(B344,[1]customers!$A:$B,2,0),"")</f>
        <v/>
      </c>
      <c r="D344" s="11" t="s">
        <v>3191</v>
      </c>
      <c r="E344" s="11" t="str" cm="1">
        <f t="array" ref="E344">IF(Table15[[#This Row],[Scott Correction]]="",Table15[[#This Row],[customer_id]],_xlfn.XLOOKUP(Table15[[#This Row],[Scott Correction]],[1]!Table2[[#All],[name]],[1]!Table2[[#All],[id]],"",0,1))</f>
        <v/>
      </c>
      <c r="F344" s="11" t="s">
        <v>4501</v>
      </c>
      <c r="G344" s="11" t="s">
        <v>4502</v>
      </c>
      <c r="H344" s="11"/>
      <c r="I344" s="11"/>
      <c r="J344" s="11" t="s">
        <v>4503</v>
      </c>
      <c r="K344" s="11" t="s">
        <v>4504</v>
      </c>
      <c r="L344" s="13"/>
    </row>
    <row r="345" spans="1:12" ht="18" customHeight="1" x14ac:dyDescent="0.25">
      <c r="A345" s="8"/>
      <c r="B345" s="9">
        <v>568</v>
      </c>
      <c r="C345" s="6" t="str">
        <f>IFERROR(VLOOKUP(B345,[1]customers!$A:$B,2,0),"")</f>
        <v>RJ Martin Electric</v>
      </c>
      <c r="D345" s="6" t="s">
        <v>3191</v>
      </c>
      <c r="E345" s="6" t="str" cm="1">
        <f t="array" ref="E345">IF(Table15[[#This Row],[Scott Correction]]="",Table15[[#This Row],[customer_id]],_xlfn.XLOOKUP(Table15[[#This Row],[Scott Correction]],[1]!Table2[[#All],[name]],[1]!Table2[[#All],[id]],"",0,1))</f>
        <v/>
      </c>
      <c r="F345" s="9" t="s">
        <v>4505</v>
      </c>
      <c r="G345" s="9" t="s">
        <v>4506</v>
      </c>
      <c r="H345" s="9"/>
      <c r="I345" s="9" t="s">
        <v>4507</v>
      </c>
      <c r="J345" s="9" t="s">
        <v>4508</v>
      </c>
      <c r="K345" s="9" t="s">
        <v>4509</v>
      </c>
      <c r="L345" s="10"/>
    </row>
    <row r="346" spans="1:12" ht="18" customHeight="1" x14ac:dyDescent="0.25">
      <c r="A346" s="4"/>
      <c r="B346" s="5">
        <v>132</v>
      </c>
      <c r="C346" s="6" t="str">
        <f>IFERROR(VLOOKUP(B346,[1]customers!$A:$B,2,0),"")</f>
        <v>Center Automotive Machine</v>
      </c>
      <c r="D346" s="6" t="s">
        <v>3191</v>
      </c>
      <c r="E346" s="6" t="str" cm="1">
        <f t="array" ref="E346">IF(Table15[[#This Row],[Scott Correction]]="",Table15[[#This Row],[customer_id]],_xlfn.XLOOKUP(Table15[[#This Row],[Scott Correction]],[1]!Table2[[#All],[name]],[1]!Table2[[#All],[id]],"",0,1))</f>
        <v/>
      </c>
      <c r="F346" s="5" t="s">
        <v>4510</v>
      </c>
      <c r="G346" s="5" t="s">
        <v>4511</v>
      </c>
      <c r="H346" s="5"/>
      <c r="I346" s="5" t="s">
        <v>4512</v>
      </c>
      <c r="J346" s="5" t="s">
        <v>4513</v>
      </c>
      <c r="K346" s="5" t="s">
        <v>4514</v>
      </c>
      <c r="L346" s="7"/>
    </row>
    <row r="347" spans="1:12" ht="18" customHeight="1" x14ac:dyDescent="0.25">
      <c r="A347" s="12"/>
      <c r="B347" s="11" t="s">
        <v>3190</v>
      </c>
      <c r="C347" s="11" t="str">
        <f>IFERROR(VLOOKUP(B347,[1]customers!$A:$B,2,0),"")</f>
        <v/>
      </c>
      <c r="D347" s="11" t="s">
        <v>3191</v>
      </c>
      <c r="E347" s="11" t="str" cm="1">
        <f t="array" ref="E347">IF(Table15[[#This Row],[Scott Correction]]="",Table15[[#This Row],[customer_id]],_xlfn.XLOOKUP(Table15[[#This Row],[Scott Correction]],[1]!Table2[[#All],[name]],[1]!Table2[[#All],[id]],"",0,1))</f>
        <v/>
      </c>
      <c r="F347" s="11" t="s">
        <v>4515</v>
      </c>
      <c r="G347" s="11" t="s">
        <v>4516</v>
      </c>
      <c r="H347" s="11"/>
      <c r="I347" s="11" t="s">
        <v>4517</v>
      </c>
      <c r="J347" s="11"/>
      <c r="K347" s="11" t="s">
        <v>4518</v>
      </c>
      <c r="L347" s="13"/>
    </row>
    <row r="348" spans="1:12" ht="18" customHeight="1" x14ac:dyDescent="0.25">
      <c r="A348" s="12"/>
      <c r="B348" s="11" t="s">
        <v>3190</v>
      </c>
      <c r="C348" s="11" t="str">
        <f>IFERROR(VLOOKUP(B348,[1]customers!$A:$B,2,0),"")</f>
        <v/>
      </c>
      <c r="D348" s="11" t="s">
        <v>3191</v>
      </c>
      <c r="E348" s="11" t="str" cm="1">
        <f t="array" ref="E348">IF(Table15[[#This Row],[Scott Correction]]="",Table15[[#This Row],[customer_id]],_xlfn.XLOOKUP(Table15[[#This Row],[Scott Correction]],[1]!Table2[[#All],[name]],[1]!Table2[[#All],[id]],"",0,1))</f>
        <v/>
      </c>
      <c r="F348" s="11" t="s">
        <v>4519</v>
      </c>
      <c r="G348" s="11" t="s">
        <v>4520</v>
      </c>
      <c r="H348" s="11"/>
      <c r="I348" s="11"/>
      <c r="J348" s="11"/>
      <c r="K348" s="11" t="s">
        <v>4521</v>
      </c>
      <c r="L348" s="13"/>
    </row>
    <row r="349" spans="1:12" ht="18" customHeight="1" x14ac:dyDescent="0.25">
      <c r="A349" s="12"/>
      <c r="B349" s="11" t="s">
        <v>3190</v>
      </c>
      <c r="C349" s="11" t="str">
        <f>IFERROR(VLOOKUP(B349,[1]customers!$A:$B,2,0),"")</f>
        <v/>
      </c>
      <c r="D349" s="11" t="s">
        <v>3191</v>
      </c>
      <c r="E349" s="11" t="str" cm="1">
        <f t="array" ref="E349">IF(Table15[[#This Row],[Scott Correction]]="",Table15[[#This Row],[customer_id]],_xlfn.XLOOKUP(Table15[[#This Row],[Scott Correction]],[1]!Table2[[#All],[name]],[1]!Table2[[#All],[id]],"",0,1))</f>
        <v/>
      </c>
      <c r="F349" s="11" t="s">
        <v>4522</v>
      </c>
      <c r="G349" s="11" t="s">
        <v>4523</v>
      </c>
      <c r="H349" s="11"/>
      <c r="I349" s="11" t="s">
        <v>4524</v>
      </c>
      <c r="J349" s="11" t="s">
        <v>4525</v>
      </c>
      <c r="K349" s="11"/>
      <c r="L349" s="13"/>
    </row>
    <row r="350" spans="1:12" ht="18" customHeight="1" x14ac:dyDescent="0.25">
      <c r="A350" s="4"/>
      <c r="B350" s="5">
        <v>323</v>
      </c>
      <c r="C350" s="6" t="str">
        <f>IFERROR(VLOOKUP(B350,[1]customers!$A:$B,2,0),"")</f>
        <v>Imhoff Construction</v>
      </c>
      <c r="D350" s="6" t="s">
        <v>3191</v>
      </c>
      <c r="E350" s="6" t="str" cm="1">
        <f t="array" ref="E350">IF(Table15[[#This Row],[Scott Correction]]="",Table15[[#This Row],[customer_id]],_xlfn.XLOOKUP(Table15[[#This Row],[Scott Correction]],[1]!Table2[[#All],[name]],[1]!Table2[[#All],[id]],"",0,1))</f>
        <v/>
      </c>
      <c r="F350" s="5" t="s">
        <v>4526</v>
      </c>
      <c r="G350" s="5" t="s">
        <v>4527</v>
      </c>
      <c r="H350" s="5"/>
      <c r="I350" s="5" t="s">
        <v>4528</v>
      </c>
      <c r="J350" s="5" t="s">
        <v>4529</v>
      </c>
      <c r="K350" s="5" t="s">
        <v>4530</v>
      </c>
      <c r="L350" s="7"/>
    </row>
    <row r="351" spans="1:12" ht="18" customHeight="1" x14ac:dyDescent="0.25">
      <c r="A351" s="4"/>
      <c r="B351" s="5">
        <v>35</v>
      </c>
      <c r="C351" s="6" t="str">
        <f>IFERROR(VLOOKUP(B351,[1]customers!$A:$B,2,0),"")</f>
        <v>Allied Mineral Products, Inc</v>
      </c>
      <c r="D351" s="6" t="s">
        <v>3191</v>
      </c>
      <c r="E351" s="6" t="str" cm="1">
        <f t="array" ref="E351">IF(Table15[[#This Row],[Scott Correction]]="",Table15[[#This Row],[customer_id]],_xlfn.XLOOKUP(Table15[[#This Row],[Scott Correction]],[1]!Table2[[#All],[name]],[1]!Table2[[#All],[id]],"",0,1))</f>
        <v/>
      </c>
      <c r="F351" s="5" t="s">
        <v>4531</v>
      </c>
      <c r="G351" s="5" t="s">
        <v>4532</v>
      </c>
      <c r="H351" s="5"/>
      <c r="I351" s="5" t="s">
        <v>4533</v>
      </c>
      <c r="J351" s="5"/>
      <c r="K351" s="5" t="s">
        <v>4534</v>
      </c>
      <c r="L351" s="7"/>
    </row>
    <row r="352" spans="1:12" ht="18" customHeight="1" x14ac:dyDescent="0.25">
      <c r="A352" s="12"/>
      <c r="B352" s="11" t="s">
        <v>3190</v>
      </c>
      <c r="C352" s="11" t="str">
        <f>IFERROR(VLOOKUP(B352,[1]customers!$A:$B,2,0),"")</f>
        <v/>
      </c>
      <c r="D352" s="11" t="s">
        <v>3191</v>
      </c>
      <c r="E352" s="11" t="str" cm="1">
        <f t="array" ref="E352">IF(Table15[[#This Row],[Scott Correction]]="",Table15[[#This Row],[customer_id]],_xlfn.XLOOKUP(Table15[[#This Row],[Scott Correction]],[1]!Table2[[#All],[name]],[1]!Table2[[#All],[id]],"",0,1))</f>
        <v/>
      </c>
      <c r="F352" s="11" t="s">
        <v>4535</v>
      </c>
      <c r="G352" s="11" t="s">
        <v>4536</v>
      </c>
      <c r="H352" s="11"/>
      <c r="I352" s="11" t="s">
        <v>4537</v>
      </c>
      <c r="J352" s="11"/>
      <c r="K352" s="11" t="s">
        <v>4538</v>
      </c>
      <c r="L352" s="13"/>
    </row>
    <row r="353" spans="1:12" ht="18" customHeight="1" x14ac:dyDescent="0.25">
      <c r="A353" s="12"/>
      <c r="B353" s="11" t="s">
        <v>3190</v>
      </c>
      <c r="C353" s="11" t="str">
        <f>IFERROR(VLOOKUP(B353,[1]customers!$A:$B,2,0),"")</f>
        <v/>
      </c>
      <c r="D353" s="11" t="s">
        <v>3191</v>
      </c>
      <c r="E353" s="11" t="str" cm="1">
        <f t="array" ref="E353">IF(Table15[[#This Row],[Scott Correction]]="",Table15[[#This Row],[customer_id]],_xlfn.XLOOKUP(Table15[[#This Row],[Scott Correction]],[1]!Table2[[#All],[name]],[1]!Table2[[#All],[id]],"",0,1))</f>
        <v/>
      </c>
      <c r="F353" s="11" t="s">
        <v>4535</v>
      </c>
      <c r="G353" s="11" t="s">
        <v>4539</v>
      </c>
      <c r="H353" s="11"/>
      <c r="I353" s="11" t="s">
        <v>4540</v>
      </c>
      <c r="J353" s="11"/>
      <c r="K353" s="11" t="s">
        <v>4541</v>
      </c>
      <c r="L353" s="13"/>
    </row>
    <row r="354" spans="1:12" ht="18" customHeight="1" x14ac:dyDescent="0.25">
      <c r="A354" s="12"/>
      <c r="B354" s="11" t="s">
        <v>3190</v>
      </c>
      <c r="C354" s="11" t="str">
        <f>IFERROR(VLOOKUP(B354,[1]customers!$A:$B,2,0),"")</f>
        <v/>
      </c>
      <c r="D354" s="11" t="s">
        <v>3191</v>
      </c>
      <c r="E354" s="11" t="str" cm="1">
        <f t="array" ref="E354">IF(Table15[[#This Row],[Scott Correction]]="",Table15[[#This Row],[customer_id]],_xlfn.XLOOKUP(Table15[[#This Row],[Scott Correction]],[1]!Table2[[#All],[name]],[1]!Table2[[#All],[id]],"",0,1))</f>
        <v/>
      </c>
      <c r="F354" s="11" t="s">
        <v>4542</v>
      </c>
      <c r="G354" s="11" t="s">
        <v>4543</v>
      </c>
      <c r="H354" s="11"/>
      <c r="I354" s="11" t="s">
        <v>4544</v>
      </c>
      <c r="J354" s="11"/>
      <c r="K354" s="11" t="s">
        <v>4545</v>
      </c>
      <c r="L354" s="13"/>
    </row>
    <row r="355" spans="1:12" ht="18" customHeight="1" x14ac:dyDescent="0.25">
      <c r="A355" s="12"/>
      <c r="B355" s="11" t="s">
        <v>3190</v>
      </c>
      <c r="C355" s="11" t="str">
        <f>IFERROR(VLOOKUP(B355,[1]customers!$A:$B,2,0),"")</f>
        <v/>
      </c>
      <c r="D355" s="11" t="s">
        <v>3191</v>
      </c>
      <c r="E355" s="11" t="str" cm="1">
        <f t="array" ref="E355">IF(Table15[[#This Row],[Scott Correction]]="",Table15[[#This Row],[customer_id]],_xlfn.XLOOKUP(Table15[[#This Row],[Scott Correction]],[1]!Table2[[#All],[name]],[1]!Table2[[#All],[id]],"",0,1))</f>
        <v/>
      </c>
      <c r="F355" s="11" t="s">
        <v>4546</v>
      </c>
      <c r="G355" s="11" t="s">
        <v>4547</v>
      </c>
      <c r="H355" s="11"/>
      <c r="I355" s="11" t="s">
        <v>4548</v>
      </c>
      <c r="J355" s="11" t="s">
        <v>4549</v>
      </c>
      <c r="K355" s="11" t="s">
        <v>4550</v>
      </c>
      <c r="L355" s="13"/>
    </row>
    <row r="356" spans="1:12" ht="18" customHeight="1" x14ac:dyDescent="0.25">
      <c r="A356" s="4"/>
      <c r="B356" s="5">
        <v>419</v>
      </c>
      <c r="C356" s="6" t="str">
        <f>IFERROR(VLOOKUP(B356,[1]customers!$A:$B,2,0),"")</f>
        <v>Metal Sales</v>
      </c>
      <c r="D356" s="6" t="s">
        <v>3191</v>
      </c>
      <c r="E356" s="6" t="str" cm="1">
        <f t="array" ref="E356">IF(Table15[[#This Row],[Scott Correction]]="",Table15[[#This Row],[customer_id]],_xlfn.XLOOKUP(Table15[[#This Row],[Scott Correction]],[1]!Table2[[#All],[name]],[1]!Table2[[#All],[id]],"",0,1))</f>
        <v/>
      </c>
      <c r="F356" s="5" t="s">
        <v>4551</v>
      </c>
      <c r="G356" s="5" t="s">
        <v>4552</v>
      </c>
      <c r="H356" s="5"/>
      <c r="I356" s="5" t="s">
        <v>4553</v>
      </c>
      <c r="J356" s="5" t="s">
        <v>4554</v>
      </c>
      <c r="K356" s="5" t="s">
        <v>4555</v>
      </c>
      <c r="L356" s="7"/>
    </row>
    <row r="357" spans="1:12" ht="18" customHeight="1" x14ac:dyDescent="0.25">
      <c r="A357" s="12"/>
      <c r="B357" s="11" t="s">
        <v>3190</v>
      </c>
      <c r="C357" s="11" t="str">
        <f>IFERROR(VLOOKUP(B357,[1]customers!$A:$B,2,0),"")</f>
        <v/>
      </c>
      <c r="D357" s="11" t="s">
        <v>3191</v>
      </c>
      <c r="E357" s="11" t="str" cm="1">
        <f t="array" ref="E357">IF(Table15[[#This Row],[Scott Correction]]="",Table15[[#This Row],[customer_id]],_xlfn.XLOOKUP(Table15[[#This Row],[Scott Correction]],[1]!Table2[[#All],[name]],[1]!Table2[[#All],[id]],"",0,1))</f>
        <v/>
      </c>
      <c r="F357" s="11" t="s">
        <v>4556</v>
      </c>
      <c r="G357" s="11" t="s">
        <v>4557</v>
      </c>
      <c r="H357" s="11"/>
      <c r="I357" s="11" t="s">
        <v>4558</v>
      </c>
      <c r="J357" s="11"/>
      <c r="K357" s="11">
        <v>4195251214</v>
      </c>
      <c r="L357" s="13"/>
    </row>
    <row r="358" spans="1:12" ht="18" customHeight="1" x14ac:dyDescent="0.25">
      <c r="A358" s="12"/>
      <c r="B358" s="11" t="s">
        <v>3190</v>
      </c>
      <c r="C358" s="11" t="str">
        <f>IFERROR(VLOOKUP(B358,[1]customers!$A:$B,2,0),"")</f>
        <v/>
      </c>
      <c r="D358" s="11" t="s">
        <v>3191</v>
      </c>
      <c r="E358" s="11" t="str" cm="1">
        <f t="array" ref="E358">IF(Table15[[#This Row],[Scott Correction]]="",Table15[[#This Row],[customer_id]],_xlfn.XLOOKUP(Table15[[#This Row],[Scott Correction]],[1]!Table2[[#All],[name]],[1]!Table2[[#All],[id]],"",0,1))</f>
        <v/>
      </c>
      <c r="F358" s="11" t="s">
        <v>4559</v>
      </c>
      <c r="G358" s="11" t="s">
        <v>4560</v>
      </c>
      <c r="H358" s="11"/>
      <c r="I358" s="11" t="s">
        <v>4561</v>
      </c>
      <c r="J358" s="11" t="s">
        <v>4562</v>
      </c>
      <c r="K358" s="11" t="s">
        <v>4563</v>
      </c>
      <c r="L358" s="13"/>
    </row>
    <row r="359" spans="1:12" ht="18" customHeight="1" x14ac:dyDescent="0.25">
      <c r="A359" s="12"/>
      <c r="B359" s="11" t="s">
        <v>3190</v>
      </c>
      <c r="C359" s="11" t="str">
        <f>IFERROR(VLOOKUP(B359,[1]customers!$A:$B,2,0),"")</f>
        <v/>
      </c>
      <c r="D359" s="11" t="s">
        <v>3191</v>
      </c>
      <c r="E359" s="11" t="str" cm="1">
        <f t="array" ref="E359">IF(Table15[[#This Row],[Scott Correction]]="",Table15[[#This Row],[customer_id]],_xlfn.XLOOKUP(Table15[[#This Row],[Scott Correction]],[1]!Table2[[#All],[name]],[1]!Table2[[#All],[id]],"",0,1))</f>
        <v/>
      </c>
      <c r="F359" s="11" t="s">
        <v>4564</v>
      </c>
      <c r="G359" s="11" t="s">
        <v>4565</v>
      </c>
      <c r="H359" s="11"/>
      <c r="I359" s="11" t="s">
        <v>4566</v>
      </c>
      <c r="J359" s="11" t="s">
        <v>4567</v>
      </c>
      <c r="K359" s="11" t="s">
        <v>4568</v>
      </c>
      <c r="L359" s="13"/>
    </row>
    <row r="360" spans="1:12" ht="18" customHeight="1" x14ac:dyDescent="0.25">
      <c r="A360" s="12"/>
      <c r="B360" s="11" t="s">
        <v>3190</v>
      </c>
      <c r="C360" s="11" t="str">
        <f>IFERROR(VLOOKUP(B360,[1]customers!$A:$B,2,0),"")</f>
        <v/>
      </c>
      <c r="D360" s="11" t="s">
        <v>3191</v>
      </c>
      <c r="E360" s="11" t="str" cm="1">
        <f t="array" ref="E360">IF(Table15[[#This Row],[Scott Correction]]="",Table15[[#This Row],[customer_id]],_xlfn.XLOOKUP(Table15[[#This Row],[Scott Correction]],[1]!Table2[[#All],[name]],[1]!Table2[[#All],[id]],"",0,1))</f>
        <v/>
      </c>
      <c r="F360" s="11" t="s">
        <v>4569</v>
      </c>
      <c r="G360" s="11" t="s">
        <v>4570</v>
      </c>
      <c r="H360" s="11"/>
      <c r="I360" s="11" t="s">
        <v>4571</v>
      </c>
      <c r="J360" s="11" t="s">
        <v>4572</v>
      </c>
      <c r="K360" s="11"/>
      <c r="L360" s="13"/>
    </row>
    <row r="361" spans="1:12" ht="18" customHeight="1" x14ac:dyDescent="0.25">
      <c r="A361" s="8"/>
      <c r="B361" s="9">
        <v>415</v>
      </c>
      <c r="C361" s="6" t="str">
        <f>IFERROR(VLOOKUP(B361,[1]customers!$A:$B,2,0),"")</f>
        <v>McNeil Industries</v>
      </c>
      <c r="D361" s="6" t="s">
        <v>3191</v>
      </c>
      <c r="E361" s="6" t="str" cm="1">
        <f t="array" ref="E361">IF(Table15[[#This Row],[Scott Correction]]="",Table15[[#This Row],[customer_id]],_xlfn.XLOOKUP(Table15[[#This Row],[Scott Correction]],[1]!Table2[[#All],[name]],[1]!Table2[[#All],[id]],"",0,1))</f>
        <v/>
      </c>
      <c r="F361" s="9" t="s">
        <v>4573</v>
      </c>
      <c r="G361" s="9" t="s">
        <v>4574</v>
      </c>
      <c r="H361" s="9"/>
      <c r="I361" s="9"/>
      <c r="J361" s="9"/>
      <c r="K361" s="9">
        <v>41952476274</v>
      </c>
      <c r="L361" s="10"/>
    </row>
    <row r="362" spans="1:12" ht="18" customHeight="1" x14ac:dyDescent="0.25">
      <c r="A362" s="12"/>
      <c r="B362" s="11" t="s">
        <v>3190</v>
      </c>
      <c r="C362" s="11" t="str">
        <f>IFERROR(VLOOKUP(B362,[1]customers!$A:$B,2,0),"")</f>
        <v/>
      </c>
      <c r="D362" s="11" t="s">
        <v>3191</v>
      </c>
      <c r="E362" s="11" t="str" cm="1">
        <f t="array" ref="E362">IF(Table15[[#This Row],[Scott Correction]]="",Table15[[#This Row],[customer_id]],_xlfn.XLOOKUP(Table15[[#This Row],[Scott Correction]],[1]!Table2[[#All],[name]],[1]!Table2[[#All],[id]],"",0,1))</f>
        <v/>
      </c>
      <c r="F362" s="11" t="s">
        <v>4575</v>
      </c>
      <c r="G362" s="11" t="s">
        <v>4576</v>
      </c>
      <c r="H362" s="11"/>
      <c r="I362" s="11"/>
      <c r="J362" s="11"/>
      <c r="K362" s="11">
        <v>4199030010</v>
      </c>
      <c r="L362" s="13"/>
    </row>
    <row r="363" spans="1:12" ht="18" customHeight="1" x14ac:dyDescent="0.25">
      <c r="A363" s="12"/>
      <c r="B363" s="11" t="s">
        <v>3190</v>
      </c>
      <c r="C363" s="11" t="str">
        <f>IFERROR(VLOOKUP(B363,[1]customers!$A:$B,2,0),"")</f>
        <v/>
      </c>
      <c r="D363" s="11" t="s">
        <v>3191</v>
      </c>
      <c r="E363" s="11" t="str" cm="1">
        <f t="array" ref="E363">IF(Table15[[#This Row],[Scott Correction]]="",Table15[[#This Row],[customer_id]],_xlfn.XLOOKUP(Table15[[#This Row],[Scott Correction]],[1]!Table2[[#All],[name]],[1]!Table2[[#All],[id]],"",0,1))</f>
        <v/>
      </c>
      <c r="F363" s="11" t="s">
        <v>4577</v>
      </c>
      <c r="G363" s="11" t="s">
        <v>4578</v>
      </c>
      <c r="H363" s="11"/>
      <c r="I363" s="11" t="s">
        <v>4579</v>
      </c>
      <c r="J363" s="11" t="s">
        <v>4580</v>
      </c>
      <c r="K363" s="11" t="s">
        <v>4581</v>
      </c>
      <c r="L363" s="13"/>
    </row>
    <row r="364" spans="1:12" ht="18" customHeight="1" x14ac:dyDescent="0.25">
      <c r="A364" s="12"/>
      <c r="B364" s="11" t="s">
        <v>3190</v>
      </c>
      <c r="C364" s="11" t="str">
        <f>IFERROR(VLOOKUP(B364,[1]customers!$A:$B,2,0),"")</f>
        <v/>
      </c>
      <c r="D364" s="11" t="s">
        <v>3191</v>
      </c>
      <c r="E364" s="11" t="str" cm="1">
        <f t="array" ref="E364">IF(Table15[[#This Row],[Scott Correction]]="",Table15[[#This Row],[customer_id]],_xlfn.XLOOKUP(Table15[[#This Row],[Scott Correction]],[1]!Table2[[#All],[name]],[1]!Table2[[#All],[id]],"",0,1))</f>
        <v/>
      </c>
      <c r="F364" s="11" t="s">
        <v>4582</v>
      </c>
      <c r="G364" s="11" t="s">
        <v>4583</v>
      </c>
      <c r="H364" s="11"/>
      <c r="I364" s="11" t="s">
        <v>4584</v>
      </c>
      <c r="J364" s="11" t="s">
        <v>4585</v>
      </c>
      <c r="K364" s="11" t="s">
        <v>4586</v>
      </c>
      <c r="L364" s="13"/>
    </row>
    <row r="365" spans="1:12" ht="18" customHeight="1" x14ac:dyDescent="0.25">
      <c r="A365" s="12"/>
      <c r="B365" s="11" t="s">
        <v>3190</v>
      </c>
      <c r="C365" s="11" t="str">
        <f>IFERROR(VLOOKUP(B365,[1]customers!$A:$B,2,0),"")</f>
        <v/>
      </c>
      <c r="D365" s="11" t="s">
        <v>3191</v>
      </c>
      <c r="E365" s="11" t="str" cm="1">
        <f t="array" ref="E365">IF(Table15[[#This Row],[Scott Correction]]="",Table15[[#This Row],[customer_id]],_xlfn.XLOOKUP(Table15[[#This Row],[Scott Correction]],[1]!Table2[[#All],[name]],[1]!Table2[[#All],[id]],"",0,1))</f>
        <v/>
      </c>
      <c r="F365" s="11" t="s">
        <v>4587</v>
      </c>
      <c r="G365" s="11" t="s">
        <v>4588</v>
      </c>
      <c r="H365" s="11"/>
      <c r="I365" s="11" t="s">
        <v>4589</v>
      </c>
      <c r="J365" s="11" t="s">
        <v>4590</v>
      </c>
      <c r="K365" s="11" t="s">
        <v>4591</v>
      </c>
      <c r="L365" s="13"/>
    </row>
    <row r="366" spans="1:12" ht="18" customHeight="1" x14ac:dyDescent="0.25">
      <c r="A366" s="12"/>
      <c r="B366" s="11" t="s">
        <v>3190</v>
      </c>
      <c r="C366" s="11" t="str">
        <f>IFERROR(VLOOKUP(B366,[1]customers!$A:$B,2,0),"")</f>
        <v/>
      </c>
      <c r="D366" s="11" t="s">
        <v>3191</v>
      </c>
      <c r="E366" s="11" t="str" cm="1">
        <f t="array" ref="E366">IF(Table15[[#This Row],[Scott Correction]]="",Table15[[#This Row],[customer_id]],_xlfn.XLOOKUP(Table15[[#This Row],[Scott Correction]],[1]!Table2[[#All],[name]],[1]!Table2[[#All],[id]],"",0,1))</f>
        <v/>
      </c>
      <c r="F366" s="11" t="s">
        <v>4592</v>
      </c>
      <c r="G366" s="11" t="s">
        <v>4593</v>
      </c>
      <c r="H366" s="11"/>
      <c r="I366" s="11" t="s">
        <v>4594</v>
      </c>
      <c r="J366" s="11" t="s">
        <v>4595</v>
      </c>
      <c r="K366" s="11" t="s">
        <v>4596</v>
      </c>
      <c r="L366" s="13"/>
    </row>
    <row r="367" spans="1:12" ht="18" customHeight="1" x14ac:dyDescent="0.25">
      <c r="A367" s="12"/>
      <c r="B367" s="11" t="s">
        <v>3190</v>
      </c>
      <c r="C367" s="11" t="str">
        <f>IFERROR(VLOOKUP(B367,[1]customers!$A:$B,2,0),"")</f>
        <v/>
      </c>
      <c r="D367" s="11" t="s">
        <v>3191</v>
      </c>
      <c r="E367" s="11" t="str" cm="1">
        <f t="array" ref="E367">IF(Table15[[#This Row],[Scott Correction]]="",Table15[[#This Row],[customer_id]],_xlfn.XLOOKUP(Table15[[#This Row],[Scott Correction]],[1]!Table2[[#All],[name]],[1]!Table2[[#All],[id]],"",0,1))</f>
        <v/>
      </c>
      <c r="F367" s="11" t="s">
        <v>4597</v>
      </c>
      <c r="G367" s="11" t="s">
        <v>4598</v>
      </c>
      <c r="H367" s="11"/>
      <c r="I367" s="11" t="s">
        <v>4599</v>
      </c>
      <c r="J367" s="11"/>
      <c r="K367" s="11">
        <v>3303281705</v>
      </c>
      <c r="L367" s="13"/>
    </row>
    <row r="368" spans="1:12" ht="18" customHeight="1" x14ac:dyDescent="0.25">
      <c r="A368" s="8"/>
      <c r="B368" s="9">
        <v>147</v>
      </c>
      <c r="C368" s="6" t="str">
        <f>IFERROR(VLOOKUP(B368,[1]customers!$A:$B,2,0),"")</f>
        <v>CLS Industrial</v>
      </c>
      <c r="D368" s="6" t="s">
        <v>3191</v>
      </c>
      <c r="E368" s="6" t="str" cm="1">
        <f t="array" ref="E368">IF(Table15[[#This Row],[Scott Correction]]="",Table15[[#This Row],[customer_id]],_xlfn.XLOOKUP(Table15[[#This Row],[Scott Correction]],[1]!Table2[[#All],[name]],[1]!Table2[[#All],[id]],"",0,1))</f>
        <v/>
      </c>
      <c r="F368" s="9" t="s">
        <v>4600</v>
      </c>
      <c r="G368" s="9" t="s">
        <v>4601</v>
      </c>
      <c r="H368" s="9"/>
      <c r="I368" s="9" t="s">
        <v>4602</v>
      </c>
      <c r="J368" s="9"/>
      <c r="K368" s="9" t="s">
        <v>4603</v>
      </c>
      <c r="L368" s="10"/>
    </row>
    <row r="369" spans="1:12" ht="18" customHeight="1" x14ac:dyDescent="0.25">
      <c r="A369" s="12"/>
      <c r="B369" s="11" t="s">
        <v>3190</v>
      </c>
      <c r="C369" s="11" t="str">
        <f>IFERROR(VLOOKUP(B369,[1]customers!$A:$B,2,0),"")</f>
        <v/>
      </c>
      <c r="D369" s="11" t="s">
        <v>3191</v>
      </c>
      <c r="E369" s="11" t="str" cm="1">
        <f t="array" ref="E369">IF(Table15[[#This Row],[Scott Correction]]="",Table15[[#This Row],[customer_id]],_xlfn.XLOOKUP(Table15[[#This Row],[Scott Correction]],[1]!Table2[[#All],[name]],[1]!Table2[[#All],[id]],"",0,1))</f>
        <v/>
      </c>
      <c r="F369" s="11" t="s">
        <v>4604</v>
      </c>
      <c r="G369" s="11" t="s">
        <v>4605</v>
      </c>
      <c r="H369" s="11"/>
      <c r="I369" s="11" t="s">
        <v>4606</v>
      </c>
      <c r="J369" s="11"/>
      <c r="K369" s="11"/>
      <c r="L369" s="13"/>
    </row>
    <row r="370" spans="1:12" ht="18" customHeight="1" x14ac:dyDescent="0.25">
      <c r="A370" s="12"/>
      <c r="B370" s="11" t="s">
        <v>3190</v>
      </c>
      <c r="C370" s="11" t="str">
        <f>IFERROR(VLOOKUP(B370,[1]customers!$A:$B,2,0),"")</f>
        <v/>
      </c>
      <c r="D370" s="11" t="s">
        <v>3191</v>
      </c>
      <c r="E370" s="11" t="str" cm="1">
        <f t="array" ref="E370">IF(Table15[[#This Row],[Scott Correction]]="",Table15[[#This Row],[customer_id]],_xlfn.XLOOKUP(Table15[[#This Row],[Scott Correction]],[1]!Table2[[#All],[name]],[1]!Table2[[#All],[id]],"",0,1))</f>
        <v/>
      </c>
      <c r="F370" s="11" t="s">
        <v>4604</v>
      </c>
      <c r="G370" s="11" t="s">
        <v>4607</v>
      </c>
      <c r="H370" s="11"/>
      <c r="I370" s="11"/>
      <c r="J370" s="11"/>
      <c r="K370" s="11" t="s">
        <v>4608</v>
      </c>
      <c r="L370" s="13"/>
    </row>
    <row r="371" spans="1:12" ht="18" customHeight="1" x14ac:dyDescent="0.25">
      <c r="A371" s="12"/>
      <c r="B371" s="11" t="s">
        <v>3190</v>
      </c>
      <c r="C371" s="11" t="str">
        <f>IFERROR(VLOOKUP(B371,[1]customers!$A:$B,2,0),"")</f>
        <v/>
      </c>
      <c r="D371" s="11" t="s">
        <v>3191</v>
      </c>
      <c r="E371" s="11" t="str" cm="1">
        <f t="array" ref="E371">IF(Table15[[#This Row],[Scott Correction]]="",Table15[[#This Row],[customer_id]],_xlfn.XLOOKUP(Table15[[#This Row],[Scott Correction]],[1]!Table2[[#All],[name]],[1]!Table2[[#All],[id]],"",0,1))</f>
        <v/>
      </c>
      <c r="F371" s="11" t="s">
        <v>4609</v>
      </c>
      <c r="G371" s="11" t="s">
        <v>4610</v>
      </c>
      <c r="H371" s="11"/>
      <c r="I371" s="11" t="s">
        <v>4611</v>
      </c>
      <c r="J371" s="11"/>
      <c r="K371" s="11" t="s">
        <v>4612</v>
      </c>
      <c r="L371" s="13"/>
    </row>
    <row r="372" spans="1:12" ht="18" customHeight="1" x14ac:dyDescent="0.25">
      <c r="A372" s="8"/>
      <c r="B372" s="9">
        <v>332</v>
      </c>
      <c r="C372" s="6" t="str">
        <f>IFERROR(VLOOKUP(B372,[1]customers!$A:$B,2,0),"")</f>
        <v>Inland Transport</v>
      </c>
      <c r="D372" s="6" t="s">
        <v>3191</v>
      </c>
      <c r="E372" s="6" t="str" cm="1">
        <f t="array" ref="E372">IF(Table15[[#This Row],[Scott Correction]]="",Table15[[#This Row],[customer_id]],_xlfn.XLOOKUP(Table15[[#This Row],[Scott Correction]],[1]!Table2[[#All],[name]],[1]!Table2[[#All],[id]],"",0,1))</f>
        <v/>
      </c>
      <c r="F372" s="9" t="s">
        <v>4613</v>
      </c>
      <c r="G372" s="9" t="s">
        <v>4614</v>
      </c>
      <c r="H372" s="9"/>
      <c r="I372" s="9" t="s">
        <v>4615</v>
      </c>
      <c r="J372" s="9"/>
      <c r="K372" s="9" t="s">
        <v>4616</v>
      </c>
      <c r="L372" s="10"/>
    </row>
    <row r="373" spans="1:12" ht="18" customHeight="1" x14ac:dyDescent="0.25">
      <c r="A373" s="8"/>
      <c r="B373" s="9">
        <v>702</v>
      </c>
      <c r="C373" s="6" t="str">
        <f>IFERROR(VLOOKUP(B373,[1]customers!$A:$B,2,0),"")</f>
        <v>Vacuum Electric Switch Co</v>
      </c>
      <c r="D373" s="6" t="s">
        <v>3191</v>
      </c>
      <c r="E373" s="6" t="str" cm="1">
        <f t="array" ref="E373">IF(Table15[[#This Row],[Scott Correction]]="",Table15[[#This Row],[customer_id]],_xlfn.XLOOKUP(Table15[[#This Row],[Scott Correction]],[1]!Table2[[#All],[name]],[1]!Table2[[#All],[id]],"",0,1))</f>
        <v/>
      </c>
      <c r="F373" s="9" t="s">
        <v>4617</v>
      </c>
      <c r="G373" s="9" t="s">
        <v>4618</v>
      </c>
      <c r="H373" s="9"/>
      <c r="I373" s="9"/>
      <c r="J373" s="9" t="s">
        <v>4619</v>
      </c>
      <c r="K373" s="9" t="s">
        <v>4620</v>
      </c>
      <c r="L373" s="10"/>
    </row>
    <row r="374" spans="1:12" ht="18" customHeight="1" x14ac:dyDescent="0.25">
      <c r="A374" s="12"/>
      <c r="B374" s="11" t="s">
        <v>3190</v>
      </c>
      <c r="C374" s="11" t="str">
        <f>IFERROR(VLOOKUP(B374,[1]customers!$A:$B,2,0),"")</f>
        <v/>
      </c>
      <c r="D374" s="11" t="s">
        <v>3191</v>
      </c>
      <c r="E374" s="11" t="str" cm="1">
        <f t="array" ref="E374">IF(Table15[[#This Row],[Scott Correction]]="",Table15[[#This Row],[customer_id]],_xlfn.XLOOKUP(Table15[[#This Row],[Scott Correction]],[1]!Table2[[#All],[name]],[1]!Table2[[#All],[id]],"",0,1))</f>
        <v/>
      </c>
      <c r="F374" s="11" t="s">
        <v>4621</v>
      </c>
      <c r="G374" s="11" t="s">
        <v>4622</v>
      </c>
      <c r="H374" s="11"/>
      <c r="I374" s="11" t="s">
        <v>4623</v>
      </c>
      <c r="J374" s="11"/>
      <c r="K374" s="11" t="s">
        <v>4624</v>
      </c>
      <c r="L374" s="13"/>
    </row>
    <row r="375" spans="1:12" ht="18" customHeight="1" x14ac:dyDescent="0.25">
      <c r="A375" s="12"/>
      <c r="B375" s="11" t="s">
        <v>3190</v>
      </c>
      <c r="C375" s="11" t="str">
        <f>IFERROR(VLOOKUP(B375,[1]customers!$A:$B,2,0),"")</f>
        <v/>
      </c>
      <c r="D375" s="11" t="s">
        <v>3191</v>
      </c>
      <c r="E375" s="11" t="str" cm="1">
        <f t="array" ref="E375">IF(Table15[[#This Row],[Scott Correction]]="",Table15[[#This Row],[customer_id]],_xlfn.XLOOKUP(Table15[[#This Row],[Scott Correction]],[1]!Table2[[#All],[name]],[1]!Table2[[#All],[id]],"",0,1))</f>
        <v/>
      </c>
      <c r="F375" s="11" t="s">
        <v>4625</v>
      </c>
      <c r="G375" s="11" t="s">
        <v>4626</v>
      </c>
      <c r="H375" s="11"/>
      <c r="I375" s="11"/>
      <c r="J375" s="11"/>
      <c r="K375" s="11" t="s">
        <v>4627</v>
      </c>
      <c r="L375" s="13"/>
    </row>
    <row r="376" spans="1:12" ht="18" customHeight="1" x14ac:dyDescent="0.25">
      <c r="A376" s="12"/>
      <c r="B376" s="11" t="s">
        <v>3190</v>
      </c>
      <c r="C376" s="11" t="str">
        <f>IFERROR(VLOOKUP(B376,[1]customers!$A:$B,2,0),"")</f>
        <v/>
      </c>
      <c r="D376" s="11" t="s">
        <v>3191</v>
      </c>
      <c r="E376" s="11" t="str" cm="1">
        <f t="array" ref="E376">IF(Table15[[#This Row],[Scott Correction]]="",Table15[[#This Row],[customer_id]],_xlfn.XLOOKUP(Table15[[#This Row],[Scott Correction]],[1]!Table2[[#All],[name]],[1]!Table2[[#All],[id]],"",0,1))</f>
        <v/>
      </c>
      <c r="F376" s="11" t="s">
        <v>4628</v>
      </c>
      <c r="G376" s="11" t="s">
        <v>4629</v>
      </c>
      <c r="H376" s="11"/>
      <c r="I376" s="11"/>
      <c r="J376" s="11" t="s">
        <v>4630</v>
      </c>
      <c r="K376" s="11"/>
      <c r="L376" s="13"/>
    </row>
    <row r="377" spans="1:12" ht="18" customHeight="1" x14ac:dyDescent="0.25">
      <c r="A377" s="12"/>
      <c r="B377" s="11" t="s">
        <v>3190</v>
      </c>
      <c r="C377" s="11" t="str">
        <f>IFERROR(VLOOKUP(B377,[1]customers!$A:$B,2,0),"")</f>
        <v/>
      </c>
      <c r="D377" s="11" t="s">
        <v>3191</v>
      </c>
      <c r="E377" s="11" t="str" cm="1">
        <f t="array" ref="E377">IF(Table15[[#This Row],[Scott Correction]]="",Table15[[#This Row],[customer_id]],_xlfn.XLOOKUP(Table15[[#This Row],[Scott Correction]],[1]!Table2[[#All],[name]],[1]!Table2[[#All],[id]],"",0,1))</f>
        <v/>
      </c>
      <c r="F377" s="11" t="s">
        <v>4628</v>
      </c>
      <c r="G377" s="11" t="s">
        <v>4631</v>
      </c>
      <c r="H377" s="11"/>
      <c r="I377" s="11" t="s">
        <v>4632</v>
      </c>
      <c r="J377" s="11" t="s">
        <v>4633</v>
      </c>
      <c r="K377" s="11" t="s">
        <v>4634</v>
      </c>
      <c r="L377" s="13"/>
    </row>
    <row r="378" spans="1:12" ht="18" customHeight="1" x14ac:dyDescent="0.25">
      <c r="A378" s="4"/>
      <c r="B378" s="5">
        <v>89</v>
      </c>
      <c r="C378" s="6" t="str">
        <f>IFERROR(VLOOKUP(B378,[1]customers!$A:$B,2,0),"")</f>
        <v>Bemis North America</v>
      </c>
      <c r="D378" s="6" t="s">
        <v>3191</v>
      </c>
      <c r="E378" s="6" t="str" cm="1">
        <f t="array" ref="E378">IF(Table15[[#This Row],[Scott Correction]]="",Table15[[#This Row],[customer_id]],_xlfn.XLOOKUP(Table15[[#This Row],[Scott Correction]],[1]!Table2[[#All],[name]],[1]!Table2[[#All],[id]],"",0,1))</f>
        <v/>
      </c>
      <c r="F378" s="5" t="s">
        <v>4635</v>
      </c>
      <c r="G378" s="5" t="s">
        <v>4636</v>
      </c>
      <c r="H378" s="5"/>
      <c r="I378" s="5" t="s">
        <v>4637</v>
      </c>
      <c r="J378" s="5">
        <v>3025987456</v>
      </c>
      <c r="K378" s="5"/>
      <c r="L378" s="7"/>
    </row>
    <row r="379" spans="1:12" ht="18" customHeight="1" x14ac:dyDescent="0.25">
      <c r="A379" s="12"/>
      <c r="B379" s="11" t="s">
        <v>3190</v>
      </c>
      <c r="C379" s="11" t="str">
        <f>IFERROR(VLOOKUP(B379,[1]customers!$A:$B,2,0),"")</f>
        <v/>
      </c>
      <c r="D379" s="11" t="s">
        <v>3191</v>
      </c>
      <c r="E379" s="11" t="str" cm="1">
        <f t="array" ref="E379">IF(Table15[[#This Row],[Scott Correction]]="",Table15[[#This Row],[customer_id]],_xlfn.XLOOKUP(Table15[[#This Row],[Scott Correction]],[1]!Table2[[#All],[name]],[1]!Table2[[#All],[id]],"",0,1))</f>
        <v/>
      </c>
      <c r="F379" s="11" t="s">
        <v>4638</v>
      </c>
      <c r="G379" s="11" t="s">
        <v>4639</v>
      </c>
      <c r="H379" s="11"/>
      <c r="I379" s="11" t="s">
        <v>4640</v>
      </c>
      <c r="J379" s="11" t="s">
        <v>4641</v>
      </c>
      <c r="K379" s="11" t="s">
        <v>7</v>
      </c>
      <c r="L379" s="13"/>
    </row>
    <row r="380" spans="1:12" ht="18" customHeight="1" x14ac:dyDescent="0.25">
      <c r="A380" s="12"/>
      <c r="B380" s="11" t="s">
        <v>3190</v>
      </c>
      <c r="C380" s="11" t="str">
        <f>IFERROR(VLOOKUP(B380,[1]customers!$A:$B,2,0),"")</f>
        <v/>
      </c>
      <c r="D380" s="11" t="s">
        <v>3191</v>
      </c>
      <c r="E380" s="11" t="str" cm="1">
        <f t="array" ref="E380">IF(Table15[[#This Row],[Scott Correction]]="",Table15[[#This Row],[customer_id]],_xlfn.XLOOKUP(Table15[[#This Row],[Scott Correction]],[1]!Table2[[#All],[name]],[1]!Table2[[#All],[id]],"",0,1))</f>
        <v/>
      </c>
      <c r="F380" s="11" t="s">
        <v>4642</v>
      </c>
      <c r="G380" s="11" t="s">
        <v>4643</v>
      </c>
      <c r="H380" s="11"/>
      <c r="I380" s="11" t="s">
        <v>4644</v>
      </c>
      <c r="J380" s="11"/>
      <c r="K380" s="11" t="s">
        <v>4645</v>
      </c>
      <c r="L380" s="13"/>
    </row>
    <row r="381" spans="1:12" ht="18" customHeight="1" x14ac:dyDescent="0.25">
      <c r="A381" s="12"/>
      <c r="B381" s="11" t="s">
        <v>3190</v>
      </c>
      <c r="C381" s="11" t="str">
        <f>IFERROR(VLOOKUP(B381,[1]customers!$A:$B,2,0),"")</f>
        <v/>
      </c>
      <c r="D381" s="11" t="s">
        <v>3191</v>
      </c>
      <c r="E381" s="11" t="str" cm="1">
        <f t="array" ref="E381">IF(Table15[[#This Row],[Scott Correction]]="",Table15[[#This Row],[customer_id]],_xlfn.XLOOKUP(Table15[[#This Row],[Scott Correction]],[1]!Table2[[#All],[name]],[1]!Table2[[#All],[id]],"",0,1))</f>
        <v/>
      </c>
      <c r="F381" s="11" t="s">
        <v>4646</v>
      </c>
      <c r="G381" s="11" t="s">
        <v>4647</v>
      </c>
      <c r="H381" s="11"/>
      <c r="I381" s="11"/>
      <c r="J381" s="11" t="s">
        <v>4648</v>
      </c>
      <c r="K381" s="11"/>
      <c r="L381" s="13"/>
    </row>
    <row r="382" spans="1:12" ht="18" customHeight="1" x14ac:dyDescent="0.25">
      <c r="A382" s="12"/>
      <c r="B382" s="11" t="s">
        <v>3190</v>
      </c>
      <c r="C382" s="11" t="str">
        <f>IFERROR(VLOOKUP(B382,[1]customers!$A:$B,2,0),"")</f>
        <v/>
      </c>
      <c r="D382" s="11" t="s">
        <v>3191</v>
      </c>
      <c r="E382" s="11" t="str" cm="1">
        <f t="array" ref="E382">IF(Table15[[#This Row],[Scott Correction]]="",Table15[[#This Row],[customer_id]],_xlfn.XLOOKUP(Table15[[#This Row],[Scott Correction]],[1]!Table2[[#All],[name]],[1]!Table2[[#All],[id]],"",0,1))</f>
        <v/>
      </c>
      <c r="F382" s="11" t="s">
        <v>4649</v>
      </c>
      <c r="G382" s="11" t="s">
        <v>4650</v>
      </c>
      <c r="H382" s="11"/>
      <c r="I382" s="11" t="s">
        <v>4651</v>
      </c>
      <c r="J382" s="11"/>
      <c r="K382" s="11" t="s">
        <v>4652</v>
      </c>
      <c r="L382" s="13"/>
    </row>
    <row r="383" spans="1:12" ht="18" customHeight="1" x14ac:dyDescent="0.25">
      <c r="A383" s="12"/>
      <c r="B383" s="11" t="s">
        <v>3190</v>
      </c>
      <c r="C383" s="11" t="str">
        <f>IFERROR(VLOOKUP(B383,[1]customers!$A:$B,2,0),"")</f>
        <v/>
      </c>
      <c r="D383" s="11" t="s">
        <v>3191</v>
      </c>
      <c r="E383" s="11" t="str" cm="1">
        <f t="array" ref="E383">IF(Table15[[#This Row],[Scott Correction]]="",Table15[[#This Row],[customer_id]],_xlfn.XLOOKUP(Table15[[#This Row],[Scott Correction]],[1]!Table2[[#All],[name]],[1]!Table2[[#All],[id]],"",0,1))</f>
        <v/>
      </c>
      <c r="F383" s="11" t="s">
        <v>4649</v>
      </c>
      <c r="G383" s="11" t="s">
        <v>4653</v>
      </c>
      <c r="H383" s="11"/>
      <c r="I383" s="11"/>
      <c r="J383" s="11">
        <v>3305150954</v>
      </c>
      <c r="K383" s="11">
        <v>3305649442</v>
      </c>
      <c r="L383" s="13"/>
    </row>
    <row r="384" spans="1:12" ht="18" customHeight="1" x14ac:dyDescent="0.25">
      <c r="A384" s="12"/>
      <c r="B384" s="11" t="s">
        <v>3190</v>
      </c>
      <c r="C384" s="11" t="str">
        <f>IFERROR(VLOOKUP(B384,[1]customers!$A:$B,2,0),"")</f>
        <v/>
      </c>
      <c r="D384" s="11" t="s">
        <v>3191</v>
      </c>
      <c r="E384" s="11" t="str" cm="1">
        <f t="array" ref="E384">IF(Table15[[#This Row],[Scott Correction]]="",Table15[[#This Row],[customer_id]],_xlfn.XLOOKUP(Table15[[#This Row],[Scott Correction]],[1]!Table2[[#All],[name]],[1]!Table2[[#All],[id]],"",0,1))</f>
        <v/>
      </c>
      <c r="F384" s="11" t="s">
        <v>4654</v>
      </c>
      <c r="G384" s="11" t="s">
        <v>338</v>
      </c>
      <c r="H384" s="11"/>
      <c r="I384" s="11" t="s">
        <v>339</v>
      </c>
      <c r="J384" s="11"/>
      <c r="K384" s="11" t="s">
        <v>4655</v>
      </c>
      <c r="L384" s="13"/>
    </row>
    <row r="385" spans="1:12" ht="18" customHeight="1" x14ac:dyDescent="0.25">
      <c r="A385" s="4"/>
      <c r="B385" s="5">
        <v>347</v>
      </c>
      <c r="C385" s="6" t="str">
        <f>IFERROR(VLOOKUP(B385,[1]customers!$A:$B,2,0),"")</f>
        <v>Jay-Em Aerospace</v>
      </c>
      <c r="D385" s="6" t="s">
        <v>3191</v>
      </c>
      <c r="E385" s="6" t="str" cm="1">
        <f t="array" ref="E385">IF(Table15[[#This Row],[Scott Correction]]="",Table15[[#This Row],[customer_id]],_xlfn.XLOOKUP(Table15[[#This Row],[Scott Correction]],[1]!Table2[[#All],[name]],[1]!Table2[[#All],[id]],"",0,1))</f>
        <v/>
      </c>
      <c r="F385" s="5" t="s">
        <v>4656</v>
      </c>
      <c r="G385" s="5" t="s">
        <v>4657</v>
      </c>
      <c r="H385" s="5"/>
      <c r="I385" s="5" t="s">
        <v>4658</v>
      </c>
      <c r="J385" s="5">
        <v>6026183474</v>
      </c>
      <c r="K385" s="5">
        <v>3306886494</v>
      </c>
      <c r="L385" s="7"/>
    </row>
    <row r="386" spans="1:12" ht="18" customHeight="1" x14ac:dyDescent="0.25">
      <c r="A386" s="12"/>
      <c r="B386" s="11" t="s">
        <v>3190</v>
      </c>
      <c r="C386" s="11" t="str">
        <f>IFERROR(VLOOKUP(B386,[1]customers!$A:$B,2,0),"")</f>
        <v/>
      </c>
      <c r="D386" s="11" t="s">
        <v>3191</v>
      </c>
      <c r="E386" s="11" t="str" cm="1">
        <f t="array" ref="E386">IF(Table15[[#This Row],[Scott Correction]]="",Table15[[#This Row],[customer_id]],_xlfn.XLOOKUP(Table15[[#This Row],[Scott Correction]],[1]!Table2[[#All],[name]],[1]!Table2[[#All],[id]],"",0,1))</f>
        <v/>
      </c>
      <c r="F386" s="11" t="s">
        <v>4659</v>
      </c>
      <c r="G386" s="11" t="s">
        <v>4660</v>
      </c>
      <c r="H386" s="11"/>
      <c r="I386" s="11" t="s">
        <v>4661</v>
      </c>
      <c r="J386" s="11"/>
      <c r="K386" s="11" t="s">
        <v>4662</v>
      </c>
      <c r="L386" s="13"/>
    </row>
    <row r="387" spans="1:12" ht="18" customHeight="1" x14ac:dyDescent="0.25">
      <c r="A387" s="12"/>
      <c r="B387" s="11" t="s">
        <v>3190</v>
      </c>
      <c r="C387" s="11" t="str">
        <f>IFERROR(VLOOKUP(B387,[1]customers!$A:$B,2,0),"")</f>
        <v/>
      </c>
      <c r="D387" s="11" t="s">
        <v>3191</v>
      </c>
      <c r="E387" s="11" t="str" cm="1">
        <f t="array" ref="E387">IF(Table15[[#This Row],[Scott Correction]]="",Table15[[#This Row],[customer_id]],_xlfn.XLOOKUP(Table15[[#This Row],[Scott Correction]],[1]!Table2[[#All],[name]],[1]!Table2[[#All],[id]],"",0,1))</f>
        <v/>
      </c>
      <c r="F387" s="11" t="s">
        <v>4663</v>
      </c>
      <c r="G387" s="11" t="s">
        <v>4664</v>
      </c>
      <c r="H387" s="11"/>
      <c r="I387" s="11" t="s">
        <v>4665</v>
      </c>
      <c r="J387" s="11"/>
      <c r="K387" s="11" t="s">
        <v>4666</v>
      </c>
      <c r="L387" s="13"/>
    </row>
    <row r="388" spans="1:12" ht="18" customHeight="1" x14ac:dyDescent="0.25">
      <c r="A388" s="12"/>
      <c r="B388" s="11" t="s">
        <v>3190</v>
      </c>
      <c r="C388" s="11" t="str">
        <f>IFERROR(VLOOKUP(B388,[1]customers!$A:$B,2,0),"")</f>
        <v/>
      </c>
      <c r="D388" s="11" t="s">
        <v>3191</v>
      </c>
      <c r="E388" s="11" t="str" cm="1">
        <f t="array" ref="E388">IF(Table15[[#This Row],[Scott Correction]]="",Table15[[#This Row],[customer_id]],_xlfn.XLOOKUP(Table15[[#This Row],[Scott Correction]],[1]!Table2[[#All],[name]],[1]!Table2[[#All],[id]],"",0,1))</f>
        <v/>
      </c>
      <c r="F388" s="11" t="s">
        <v>4667</v>
      </c>
      <c r="G388" s="11" t="s">
        <v>4668</v>
      </c>
      <c r="H388" s="11"/>
      <c r="I388" s="11" t="s">
        <v>4669</v>
      </c>
      <c r="J388" s="11"/>
      <c r="K388" s="11" t="s">
        <v>4670</v>
      </c>
      <c r="L388" s="13"/>
    </row>
    <row r="389" spans="1:12" ht="18" customHeight="1" x14ac:dyDescent="0.25">
      <c r="A389" s="12"/>
      <c r="B389" s="11" t="s">
        <v>3190</v>
      </c>
      <c r="C389" s="11" t="str">
        <f>IFERROR(VLOOKUP(B389,[1]customers!$A:$B,2,0),"")</f>
        <v/>
      </c>
      <c r="D389" s="11" t="s">
        <v>3191</v>
      </c>
      <c r="E389" s="11" t="str" cm="1">
        <f t="array" ref="E389">IF(Table15[[#This Row],[Scott Correction]]="",Table15[[#This Row],[customer_id]],_xlfn.XLOOKUP(Table15[[#This Row],[Scott Correction]],[1]!Table2[[#All],[name]],[1]!Table2[[#All],[id]],"",0,1))</f>
        <v/>
      </c>
      <c r="F389" s="11" t="s">
        <v>4671</v>
      </c>
      <c r="G389" s="11" t="s">
        <v>4672</v>
      </c>
      <c r="H389" s="11"/>
      <c r="I389" s="11" t="s">
        <v>4673</v>
      </c>
      <c r="J389" s="11" t="s">
        <v>4674</v>
      </c>
      <c r="K389" s="11" t="s">
        <v>4675</v>
      </c>
      <c r="L389" s="13"/>
    </row>
    <row r="390" spans="1:12" ht="18" customHeight="1" x14ac:dyDescent="0.25">
      <c r="A390" s="8"/>
      <c r="B390" s="9">
        <v>308</v>
      </c>
      <c r="C390" s="6" t="str">
        <f>IFERROR(VLOOKUP(B390,[1]customers!$A:$B,2,0),"")</f>
        <v>HB Chemical</v>
      </c>
      <c r="D390" s="6" t="s">
        <v>3191</v>
      </c>
      <c r="E390" s="6" t="str" cm="1">
        <f t="array" ref="E390">IF(Table15[[#This Row],[Scott Correction]]="",Table15[[#This Row],[customer_id]],_xlfn.XLOOKUP(Table15[[#This Row],[Scott Correction]],[1]!Table2[[#All],[name]],[1]!Table2[[#All],[id]],"",0,1))</f>
        <v/>
      </c>
      <c r="F390" s="9" t="s">
        <v>4676</v>
      </c>
      <c r="G390" s="9" t="s">
        <v>659</v>
      </c>
      <c r="H390" s="9"/>
      <c r="I390" s="9" t="s">
        <v>4677</v>
      </c>
      <c r="J390" s="9" t="s">
        <v>4678</v>
      </c>
      <c r="K390" s="9" t="s">
        <v>4679</v>
      </c>
      <c r="L390" s="10"/>
    </row>
    <row r="391" spans="1:12" ht="18" customHeight="1" x14ac:dyDescent="0.25">
      <c r="A391" s="4"/>
      <c r="B391" s="5">
        <v>308</v>
      </c>
      <c r="C391" s="6" t="str">
        <f>IFERROR(VLOOKUP(B391,[1]customers!$A:$B,2,0),"")</f>
        <v>HB Chemical</v>
      </c>
      <c r="D391" s="6" t="s">
        <v>3191</v>
      </c>
      <c r="E391" s="6" t="str" cm="1">
        <f t="array" ref="E391">IF(Table15[[#This Row],[Scott Correction]]="",Table15[[#This Row],[customer_id]],_xlfn.XLOOKUP(Table15[[#This Row],[Scott Correction]],[1]!Table2[[#All],[name]],[1]!Table2[[#All],[id]],"",0,1))</f>
        <v/>
      </c>
      <c r="F391" s="5" t="s">
        <v>4676</v>
      </c>
      <c r="G391" s="5" t="s">
        <v>4680</v>
      </c>
      <c r="H391" s="5"/>
      <c r="I391" s="5" t="s">
        <v>4681</v>
      </c>
      <c r="J391" s="5" t="s">
        <v>4682</v>
      </c>
      <c r="K391" s="5" t="s">
        <v>4683</v>
      </c>
      <c r="L391" s="7"/>
    </row>
    <row r="392" spans="1:12" ht="18" customHeight="1" x14ac:dyDescent="0.25">
      <c r="A392" s="12"/>
      <c r="B392" s="11" t="s">
        <v>3190</v>
      </c>
      <c r="C392" s="11" t="str">
        <f>IFERROR(VLOOKUP(B392,[1]customers!$A:$B,2,0),"")</f>
        <v/>
      </c>
      <c r="D392" s="11" t="s">
        <v>3191</v>
      </c>
      <c r="E392" s="11" t="str" cm="1">
        <f t="array" ref="E392">IF(Table15[[#This Row],[Scott Correction]]="",Table15[[#This Row],[customer_id]],_xlfn.XLOOKUP(Table15[[#This Row],[Scott Correction]],[1]!Table2[[#All],[name]],[1]!Table2[[#All],[id]],"",0,1))</f>
        <v/>
      </c>
      <c r="F392" s="11" t="s">
        <v>4684</v>
      </c>
      <c r="G392" s="11" t="s">
        <v>4685</v>
      </c>
      <c r="H392" s="11"/>
      <c r="I392" s="11" t="s">
        <v>4686</v>
      </c>
      <c r="J392" s="11"/>
      <c r="K392" s="11" t="s">
        <v>4687</v>
      </c>
      <c r="L392" s="13"/>
    </row>
    <row r="393" spans="1:12" ht="18" customHeight="1" x14ac:dyDescent="0.25">
      <c r="A393" s="12"/>
      <c r="B393" s="11" t="s">
        <v>3190</v>
      </c>
      <c r="C393" s="11" t="str">
        <f>IFERROR(VLOOKUP(B393,[1]customers!$A:$B,2,0),"")</f>
        <v/>
      </c>
      <c r="D393" s="11" t="s">
        <v>3191</v>
      </c>
      <c r="E393" s="11" t="str" cm="1">
        <f t="array" ref="E393">IF(Table15[[#This Row],[Scott Correction]]="",Table15[[#This Row],[customer_id]],_xlfn.XLOOKUP(Table15[[#This Row],[Scott Correction]],[1]!Table2[[#All],[name]],[1]!Table2[[#All],[id]],"",0,1))</f>
        <v/>
      </c>
      <c r="F393" s="11" t="s">
        <v>4688</v>
      </c>
      <c r="G393" s="11" t="s">
        <v>4689</v>
      </c>
      <c r="H393" s="11"/>
      <c r="I393" s="11" t="s">
        <v>4690</v>
      </c>
      <c r="J393" s="11"/>
      <c r="K393" s="11" t="s">
        <v>4691</v>
      </c>
      <c r="L393" s="13"/>
    </row>
    <row r="394" spans="1:12" ht="18" customHeight="1" x14ac:dyDescent="0.25">
      <c r="A394" s="4"/>
      <c r="B394" s="5">
        <v>705</v>
      </c>
      <c r="C394" s="6" t="str">
        <f>IFERROR(VLOOKUP(B394,[1]customers!$A:$B,2,0),"")</f>
        <v>Valco Brothers Construction</v>
      </c>
      <c r="D394" s="6" t="s">
        <v>3191</v>
      </c>
      <c r="E394" s="6" t="str" cm="1">
        <f t="array" ref="E394">IF(Table15[[#This Row],[Scott Correction]]="",Table15[[#This Row],[customer_id]],_xlfn.XLOOKUP(Table15[[#This Row],[Scott Correction]],[1]!Table2[[#All],[name]],[1]!Table2[[#All],[id]],"",0,1))</f>
        <v/>
      </c>
      <c r="F394" s="5" t="s">
        <v>4692</v>
      </c>
      <c r="G394" s="5" t="s">
        <v>4693</v>
      </c>
      <c r="H394" s="5"/>
      <c r="I394" s="5" t="s">
        <v>4694</v>
      </c>
      <c r="J394" s="5" t="s">
        <v>4695</v>
      </c>
      <c r="K394" s="5" t="s">
        <v>4696</v>
      </c>
      <c r="L394" s="7"/>
    </row>
    <row r="395" spans="1:12" ht="18" customHeight="1" x14ac:dyDescent="0.25">
      <c r="A395" s="4"/>
      <c r="B395" s="5">
        <v>652</v>
      </c>
      <c r="C395" s="6" t="str">
        <f>IFERROR(VLOOKUP(B395,[1]customers!$A:$B,2,0),"")</f>
        <v>StoreTek Engineering</v>
      </c>
      <c r="D395" s="6" t="s">
        <v>3191</v>
      </c>
      <c r="E395" s="6" t="str" cm="1">
        <f t="array" ref="E395">IF(Table15[[#This Row],[Scott Correction]]="",Table15[[#This Row],[customer_id]],_xlfn.XLOOKUP(Table15[[#This Row],[Scott Correction]],[1]!Table2[[#All],[name]],[1]!Table2[[#All],[id]],"",0,1))</f>
        <v/>
      </c>
      <c r="F395" s="5" t="s">
        <v>4697</v>
      </c>
      <c r="G395" s="5" t="s">
        <v>4698</v>
      </c>
      <c r="H395" s="5"/>
      <c r="I395" s="5" t="s">
        <v>4699</v>
      </c>
      <c r="J395" s="5" t="s">
        <v>4700</v>
      </c>
      <c r="K395" s="5" t="s">
        <v>4701</v>
      </c>
      <c r="L395" s="7"/>
    </row>
    <row r="396" spans="1:12" ht="18" customHeight="1" x14ac:dyDescent="0.25">
      <c r="A396" s="12"/>
      <c r="B396" s="11" t="s">
        <v>3190</v>
      </c>
      <c r="C396" s="11" t="str">
        <f>IFERROR(VLOOKUP(B396,[1]customers!$A:$B,2,0),"")</f>
        <v/>
      </c>
      <c r="D396" s="11" t="s">
        <v>3191</v>
      </c>
      <c r="E396" s="11" t="str" cm="1">
        <f t="array" ref="E396">IF(Table15[[#This Row],[Scott Correction]]="",Table15[[#This Row],[customer_id]],_xlfn.XLOOKUP(Table15[[#This Row],[Scott Correction]],[1]!Table2[[#All],[name]],[1]!Table2[[#All],[id]],"",0,1))</f>
        <v/>
      </c>
      <c r="F396" s="11" t="s">
        <v>4702</v>
      </c>
      <c r="G396" s="11" t="s">
        <v>1091</v>
      </c>
      <c r="H396" s="11"/>
      <c r="I396" s="11" t="s">
        <v>4703</v>
      </c>
      <c r="J396" s="11"/>
      <c r="K396" s="11" t="s">
        <v>4704</v>
      </c>
      <c r="L396" s="13"/>
    </row>
    <row r="397" spans="1:12" ht="18" customHeight="1" x14ac:dyDescent="0.25">
      <c r="A397" s="12"/>
      <c r="B397" s="11" t="s">
        <v>3190</v>
      </c>
      <c r="C397" s="11" t="str">
        <f>IFERROR(VLOOKUP(B397,[1]customers!$A:$B,2,0),"")</f>
        <v/>
      </c>
      <c r="D397" s="11" t="s">
        <v>3191</v>
      </c>
      <c r="E397" s="11" t="str" cm="1">
        <f t="array" ref="E397">IF(Table15[[#This Row],[Scott Correction]]="",Table15[[#This Row],[customer_id]],_xlfn.XLOOKUP(Table15[[#This Row],[Scott Correction]],[1]!Table2[[#All],[name]],[1]!Table2[[#All],[id]],"",0,1))</f>
        <v/>
      </c>
      <c r="F397" s="11" t="s">
        <v>4702</v>
      </c>
      <c r="G397" s="11" t="s">
        <v>4705</v>
      </c>
      <c r="H397" s="11"/>
      <c r="I397" s="11" t="s">
        <v>4706</v>
      </c>
      <c r="J397" s="11"/>
      <c r="K397" s="11" t="s">
        <v>4704</v>
      </c>
      <c r="L397" s="13"/>
    </row>
    <row r="398" spans="1:12" ht="18" customHeight="1" x14ac:dyDescent="0.25">
      <c r="A398" s="12"/>
      <c r="B398" s="11" t="s">
        <v>3190</v>
      </c>
      <c r="C398" s="11" t="str">
        <f>IFERROR(VLOOKUP(B398,[1]customers!$A:$B,2,0),"")</f>
        <v/>
      </c>
      <c r="D398" s="11" t="s">
        <v>3191</v>
      </c>
      <c r="E398" s="11" t="str" cm="1">
        <f t="array" ref="E398">IF(Table15[[#This Row],[Scott Correction]]="",Table15[[#This Row],[customer_id]],_xlfn.XLOOKUP(Table15[[#This Row],[Scott Correction]],[1]!Table2[[#All],[name]],[1]!Table2[[#All],[id]],"",0,1))</f>
        <v/>
      </c>
      <c r="F398" s="11" t="s">
        <v>4707</v>
      </c>
      <c r="G398" s="11" t="s">
        <v>1729</v>
      </c>
      <c r="H398" s="11"/>
      <c r="I398" s="11" t="s">
        <v>1732</v>
      </c>
      <c r="J398" s="11" t="s">
        <v>1731</v>
      </c>
      <c r="K398" s="11" t="s">
        <v>1733</v>
      </c>
      <c r="L398" s="13"/>
    </row>
    <row r="399" spans="1:12" ht="18" customHeight="1" x14ac:dyDescent="0.25">
      <c r="A399" s="12"/>
      <c r="B399" s="11" t="s">
        <v>3190</v>
      </c>
      <c r="C399" s="11" t="str">
        <f>IFERROR(VLOOKUP(B399,[1]customers!$A:$B,2,0),"")</f>
        <v/>
      </c>
      <c r="D399" s="11" t="s">
        <v>3191</v>
      </c>
      <c r="E399" s="11" t="str" cm="1">
        <f t="array" ref="E399">IF(Table15[[#This Row],[Scott Correction]]="",Table15[[#This Row],[customer_id]],_xlfn.XLOOKUP(Table15[[#This Row],[Scott Correction]],[1]!Table2[[#All],[name]],[1]!Table2[[#All],[id]],"",0,1))</f>
        <v/>
      </c>
      <c r="F399" s="11" t="s">
        <v>4708</v>
      </c>
      <c r="G399" s="11" t="s">
        <v>4709</v>
      </c>
      <c r="H399" s="11"/>
      <c r="I399" s="11" t="s">
        <v>4710</v>
      </c>
      <c r="J399" s="11"/>
      <c r="K399" s="11" t="s">
        <v>4711</v>
      </c>
      <c r="L399" s="13"/>
    </row>
    <row r="400" spans="1:12" ht="18" customHeight="1" x14ac:dyDescent="0.25">
      <c r="A400" s="12"/>
      <c r="B400" s="11" t="s">
        <v>3190</v>
      </c>
      <c r="C400" s="11" t="str">
        <f>IFERROR(VLOOKUP(B400,[1]customers!$A:$B,2,0),"")</f>
        <v/>
      </c>
      <c r="D400" s="11" t="s">
        <v>3191</v>
      </c>
      <c r="E400" s="11" t="str" cm="1">
        <f t="array" ref="E400">IF(Table15[[#This Row],[Scott Correction]]="",Table15[[#This Row],[customer_id]],_xlfn.XLOOKUP(Table15[[#This Row],[Scott Correction]],[1]!Table2[[#All],[name]],[1]!Table2[[#All],[id]],"",0,1))</f>
        <v/>
      </c>
      <c r="F400" s="11" t="s">
        <v>4712</v>
      </c>
      <c r="G400" s="11" t="s">
        <v>4713</v>
      </c>
      <c r="H400" s="11"/>
      <c r="I400" s="11" t="s">
        <v>4714</v>
      </c>
      <c r="J400" s="11">
        <v>3308305500</v>
      </c>
      <c r="K400" s="11"/>
      <c r="L400" s="13"/>
    </row>
    <row r="401" spans="1:12" ht="18" customHeight="1" x14ac:dyDescent="0.25">
      <c r="A401" s="12"/>
      <c r="B401" s="11" t="s">
        <v>3190</v>
      </c>
      <c r="C401" s="11" t="str">
        <f>IFERROR(VLOOKUP(B401,[1]customers!$A:$B,2,0),"")</f>
        <v/>
      </c>
      <c r="D401" s="11" t="s">
        <v>3191</v>
      </c>
      <c r="E401" s="11" t="str" cm="1">
        <f t="array" ref="E401">IF(Table15[[#This Row],[Scott Correction]]="",Table15[[#This Row],[customer_id]],_xlfn.XLOOKUP(Table15[[#This Row],[Scott Correction]],[1]!Table2[[#All],[name]],[1]!Table2[[#All],[id]],"",0,1))</f>
        <v/>
      </c>
      <c r="F401" s="11" t="s">
        <v>4715</v>
      </c>
      <c r="G401" s="11" t="s">
        <v>4716</v>
      </c>
      <c r="H401" s="11"/>
      <c r="I401" s="11" t="s">
        <v>4717</v>
      </c>
      <c r="J401" s="11" t="s">
        <v>4718</v>
      </c>
      <c r="K401" s="11" t="s">
        <v>4719</v>
      </c>
      <c r="L401" s="13"/>
    </row>
    <row r="402" spans="1:12" ht="18" customHeight="1" x14ac:dyDescent="0.25">
      <c r="A402" s="12"/>
      <c r="B402" s="11" t="s">
        <v>3190</v>
      </c>
      <c r="C402" s="11" t="str">
        <f>IFERROR(VLOOKUP(B402,[1]customers!$A:$B,2,0),"")</f>
        <v/>
      </c>
      <c r="D402" s="11" t="s">
        <v>3191</v>
      </c>
      <c r="E402" s="11" t="str" cm="1">
        <f t="array" ref="E402">IF(Table15[[#This Row],[Scott Correction]]="",Table15[[#This Row],[customer_id]],_xlfn.XLOOKUP(Table15[[#This Row],[Scott Correction]],[1]!Table2[[#All],[name]],[1]!Table2[[#All],[id]],"",0,1))</f>
        <v/>
      </c>
      <c r="F402" s="11" t="s">
        <v>4720</v>
      </c>
      <c r="G402" s="11" t="s">
        <v>4721</v>
      </c>
      <c r="H402" s="11"/>
      <c r="I402" s="11" t="s">
        <v>4722</v>
      </c>
      <c r="J402" s="11" t="s">
        <v>4723</v>
      </c>
      <c r="K402" s="11" t="s">
        <v>4724</v>
      </c>
      <c r="L402" s="13"/>
    </row>
    <row r="403" spans="1:12" ht="18" customHeight="1" x14ac:dyDescent="0.25">
      <c r="A403" s="4"/>
      <c r="B403" s="5">
        <v>334</v>
      </c>
      <c r="C403" s="6" t="str">
        <f>IFERROR(VLOOKUP(B403,[1]customers!$A:$B,2,0),"")</f>
        <v>INMAR Solutions</v>
      </c>
      <c r="D403" s="6" t="s">
        <v>3191</v>
      </c>
      <c r="E403" s="6" t="str" cm="1">
        <f t="array" ref="E403">IF(Table15[[#This Row],[Scott Correction]]="",Table15[[#This Row],[customer_id]],_xlfn.XLOOKUP(Table15[[#This Row],[Scott Correction]],[1]!Table2[[#All],[name]],[1]!Table2[[#All],[id]],"",0,1))</f>
        <v/>
      </c>
      <c r="F403" s="5" t="s">
        <v>4725</v>
      </c>
      <c r="G403" s="5" t="s">
        <v>4726</v>
      </c>
      <c r="H403" s="5"/>
      <c r="I403" s="5" t="s">
        <v>4727</v>
      </c>
      <c r="J403" s="5"/>
      <c r="K403" s="5" t="s">
        <v>4728</v>
      </c>
      <c r="L403" s="7"/>
    </row>
    <row r="404" spans="1:12" ht="18" customHeight="1" x14ac:dyDescent="0.25">
      <c r="A404" s="8"/>
      <c r="B404" s="9">
        <v>334</v>
      </c>
      <c r="C404" s="6" t="str">
        <f>IFERROR(VLOOKUP(B404,[1]customers!$A:$B,2,0),"")</f>
        <v>INMAR Solutions</v>
      </c>
      <c r="D404" s="6" t="s">
        <v>3191</v>
      </c>
      <c r="E404" s="6" t="str" cm="1">
        <f t="array" ref="E404">IF(Table15[[#This Row],[Scott Correction]]="",Table15[[#This Row],[customer_id]],_xlfn.XLOOKUP(Table15[[#This Row],[Scott Correction]],[1]!Table2[[#All],[name]],[1]!Table2[[#All],[id]],"",0,1))</f>
        <v/>
      </c>
      <c r="F404" s="9" t="s">
        <v>4725</v>
      </c>
      <c r="G404" s="9" t="s">
        <v>4729</v>
      </c>
      <c r="H404" s="9"/>
      <c r="I404" s="9" t="s">
        <v>4730</v>
      </c>
      <c r="J404" s="9"/>
      <c r="K404" s="9" t="s">
        <v>4731</v>
      </c>
      <c r="L404" s="10"/>
    </row>
    <row r="405" spans="1:12" ht="18" customHeight="1" x14ac:dyDescent="0.25">
      <c r="A405" s="4"/>
      <c r="B405" s="5">
        <v>334</v>
      </c>
      <c r="C405" s="6" t="str">
        <f>IFERROR(VLOOKUP(B405,[1]customers!$A:$B,2,0),"")</f>
        <v>INMAR Solutions</v>
      </c>
      <c r="D405" s="6" t="s">
        <v>3191</v>
      </c>
      <c r="E405" s="6" t="str" cm="1">
        <f t="array" ref="E405">IF(Table15[[#This Row],[Scott Correction]]="",Table15[[#This Row],[customer_id]],_xlfn.XLOOKUP(Table15[[#This Row],[Scott Correction]],[1]!Table2[[#All],[name]],[1]!Table2[[#All],[id]],"",0,1))</f>
        <v/>
      </c>
      <c r="F405" s="5" t="s">
        <v>4725</v>
      </c>
      <c r="G405" s="5" t="s">
        <v>4732</v>
      </c>
      <c r="H405" s="5"/>
      <c r="I405" s="5" t="s">
        <v>4733</v>
      </c>
      <c r="J405" s="5" t="s">
        <v>4734</v>
      </c>
      <c r="K405" s="5" t="s">
        <v>4735</v>
      </c>
      <c r="L405" s="7"/>
    </row>
    <row r="406" spans="1:12" ht="18" customHeight="1" x14ac:dyDescent="0.25">
      <c r="A406" s="8"/>
      <c r="B406" s="9">
        <v>334</v>
      </c>
      <c r="C406" s="6" t="str">
        <f>IFERROR(VLOOKUP(B406,[1]customers!$A:$B,2,0),"")</f>
        <v>INMAR Solutions</v>
      </c>
      <c r="D406" s="6" t="s">
        <v>3191</v>
      </c>
      <c r="E406" s="6" t="str" cm="1">
        <f t="array" ref="E406">IF(Table15[[#This Row],[Scott Correction]]="",Table15[[#This Row],[customer_id]],_xlfn.XLOOKUP(Table15[[#This Row],[Scott Correction]],[1]!Table2[[#All],[name]],[1]!Table2[[#All],[id]],"",0,1))</f>
        <v/>
      </c>
      <c r="F406" s="9" t="s">
        <v>4725</v>
      </c>
      <c r="G406" s="9" t="s">
        <v>4736</v>
      </c>
      <c r="H406" s="9"/>
      <c r="I406" s="9" t="s">
        <v>4737</v>
      </c>
      <c r="J406" s="9"/>
      <c r="K406" s="9" t="s">
        <v>4738</v>
      </c>
      <c r="L406" s="10"/>
    </row>
    <row r="407" spans="1:12" ht="18" customHeight="1" x14ac:dyDescent="0.25">
      <c r="A407" s="4"/>
      <c r="B407" s="5">
        <v>334</v>
      </c>
      <c r="C407" s="6" t="str">
        <f>IFERROR(VLOOKUP(B407,[1]customers!$A:$B,2,0),"")</f>
        <v>INMAR Solutions</v>
      </c>
      <c r="D407" s="6" t="s">
        <v>3191</v>
      </c>
      <c r="E407" s="6" t="str" cm="1">
        <f t="array" ref="E407">IF(Table15[[#This Row],[Scott Correction]]="",Table15[[#This Row],[customer_id]],_xlfn.XLOOKUP(Table15[[#This Row],[Scott Correction]],[1]!Table2[[#All],[name]],[1]!Table2[[#All],[id]],"",0,1))</f>
        <v/>
      </c>
      <c r="F407" s="5" t="s">
        <v>4725</v>
      </c>
      <c r="G407" s="5" t="s">
        <v>4739</v>
      </c>
      <c r="H407" s="5"/>
      <c r="I407" s="5" t="s">
        <v>4740</v>
      </c>
      <c r="J407" s="5" t="s">
        <v>4741</v>
      </c>
      <c r="K407" s="5" t="s">
        <v>4742</v>
      </c>
      <c r="L407" s="7"/>
    </row>
    <row r="408" spans="1:12" ht="18" customHeight="1" x14ac:dyDescent="0.25">
      <c r="A408" s="8"/>
      <c r="B408" s="9">
        <v>334</v>
      </c>
      <c r="C408" s="6" t="str">
        <f>IFERROR(VLOOKUP(B408,[1]customers!$A:$B,2,0),"")</f>
        <v>INMAR Solutions</v>
      </c>
      <c r="D408" s="6" t="s">
        <v>3191</v>
      </c>
      <c r="E408" s="6" t="str" cm="1">
        <f t="array" ref="E408">IF(Table15[[#This Row],[Scott Correction]]="",Table15[[#This Row],[customer_id]],_xlfn.XLOOKUP(Table15[[#This Row],[Scott Correction]],[1]!Table2[[#All],[name]],[1]!Table2[[#All],[id]],"",0,1))</f>
        <v/>
      </c>
      <c r="F408" s="9" t="s">
        <v>4725</v>
      </c>
      <c r="G408" s="9" t="s">
        <v>4743</v>
      </c>
      <c r="H408" s="9"/>
      <c r="I408" s="9" t="s">
        <v>4744</v>
      </c>
      <c r="J408" s="9"/>
      <c r="K408" s="9" t="s">
        <v>4745</v>
      </c>
      <c r="L408" s="10"/>
    </row>
    <row r="409" spans="1:12" ht="18" customHeight="1" x14ac:dyDescent="0.25">
      <c r="A409" s="12"/>
      <c r="B409" s="11" t="s">
        <v>3190</v>
      </c>
      <c r="C409" s="11" t="str">
        <f>IFERROR(VLOOKUP(B409,[1]customers!$A:$B,2,0),"")</f>
        <v/>
      </c>
      <c r="D409" s="11" t="s">
        <v>3191</v>
      </c>
      <c r="E409" s="11" t="str" cm="1">
        <f t="array" ref="E409">IF(Table15[[#This Row],[Scott Correction]]="",Table15[[#This Row],[customer_id]],_xlfn.XLOOKUP(Table15[[#This Row],[Scott Correction]],[1]!Table2[[#All],[name]],[1]!Table2[[#All],[id]],"",0,1))</f>
        <v/>
      </c>
      <c r="F409" s="11" t="s">
        <v>4746</v>
      </c>
      <c r="G409" s="11" t="s">
        <v>4747</v>
      </c>
      <c r="H409" s="11"/>
      <c r="I409" s="11" t="s">
        <v>4748</v>
      </c>
      <c r="J409" s="11"/>
      <c r="K409" s="11" t="s">
        <v>4749</v>
      </c>
      <c r="L409" s="13"/>
    </row>
    <row r="410" spans="1:12" ht="18" customHeight="1" x14ac:dyDescent="0.25">
      <c r="A410" s="12"/>
      <c r="B410" s="11" t="s">
        <v>3190</v>
      </c>
      <c r="C410" s="11" t="str">
        <f>IFERROR(VLOOKUP(B410,[1]customers!$A:$B,2,0),"")</f>
        <v/>
      </c>
      <c r="D410" s="11" t="s">
        <v>3191</v>
      </c>
      <c r="E410" s="11" t="str" cm="1">
        <f t="array" ref="E410">IF(Table15[[#This Row],[Scott Correction]]="",Table15[[#This Row],[customer_id]],_xlfn.XLOOKUP(Table15[[#This Row],[Scott Correction]],[1]!Table2[[#All],[name]],[1]!Table2[[#All],[id]],"",0,1))</f>
        <v/>
      </c>
      <c r="F410" s="11" t="s">
        <v>4750</v>
      </c>
      <c r="G410" s="11" t="s">
        <v>4751</v>
      </c>
      <c r="H410" s="11"/>
      <c r="I410" s="11"/>
      <c r="J410" s="11"/>
      <c r="K410" s="11" t="s">
        <v>4752</v>
      </c>
      <c r="L410" s="13"/>
    </row>
    <row r="411" spans="1:12" ht="18" customHeight="1" x14ac:dyDescent="0.25">
      <c r="A411" s="12"/>
      <c r="B411" s="11" t="s">
        <v>3190</v>
      </c>
      <c r="C411" s="11" t="str">
        <f>IFERROR(VLOOKUP(B411,[1]customers!$A:$B,2,0),"")</f>
        <v/>
      </c>
      <c r="D411" s="11" t="s">
        <v>3191</v>
      </c>
      <c r="E411" s="11" t="str" cm="1">
        <f t="array" ref="E411">IF(Table15[[#This Row],[Scott Correction]]="",Table15[[#This Row],[customer_id]],_xlfn.XLOOKUP(Table15[[#This Row],[Scott Correction]],[1]!Table2[[#All],[name]],[1]!Table2[[#All],[id]],"",0,1))</f>
        <v/>
      </c>
      <c r="F411" s="11" t="s">
        <v>4750</v>
      </c>
      <c r="G411" s="11" t="s">
        <v>4753</v>
      </c>
      <c r="H411" s="11"/>
      <c r="I411" s="11" t="s">
        <v>4754</v>
      </c>
      <c r="J411" s="11"/>
      <c r="K411" s="11" t="s">
        <v>4755</v>
      </c>
      <c r="L411" s="13"/>
    </row>
    <row r="412" spans="1:12" ht="18" customHeight="1" x14ac:dyDescent="0.25">
      <c r="A412" s="12"/>
      <c r="B412" s="11" t="s">
        <v>3190</v>
      </c>
      <c r="C412" s="11" t="str">
        <f>IFERROR(VLOOKUP(B412,[1]customers!$A:$B,2,0),"")</f>
        <v/>
      </c>
      <c r="D412" s="11" t="s">
        <v>3191</v>
      </c>
      <c r="E412" s="11" t="str" cm="1">
        <f t="array" ref="E412">IF(Table15[[#This Row],[Scott Correction]]="",Table15[[#This Row],[customer_id]],_xlfn.XLOOKUP(Table15[[#This Row],[Scott Correction]],[1]!Table2[[#All],[name]],[1]!Table2[[#All],[id]],"",0,1))</f>
        <v/>
      </c>
      <c r="F412" s="11" t="s">
        <v>4750</v>
      </c>
      <c r="G412" s="11" t="s">
        <v>4756</v>
      </c>
      <c r="H412" s="11"/>
      <c r="I412" s="11" t="s">
        <v>4757</v>
      </c>
      <c r="J412" s="11"/>
      <c r="K412" s="11" t="s">
        <v>4752</v>
      </c>
      <c r="L412" s="13"/>
    </row>
    <row r="413" spans="1:12" ht="18" customHeight="1" x14ac:dyDescent="0.25">
      <c r="A413" s="12"/>
      <c r="B413" s="11" t="s">
        <v>3190</v>
      </c>
      <c r="C413" s="11" t="str">
        <f>IFERROR(VLOOKUP(B413,[1]customers!$A:$B,2,0),"")</f>
        <v/>
      </c>
      <c r="D413" s="11" t="s">
        <v>3191</v>
      </c>
      <c r="E413" s="11" t="str" cm="1">
        <f t="array" ref="E413">IF(Table15[[#This Row],[Scott Correction]]="",Table15[[#This Row],[customer_id]],_xlfn.XLOOKUP(Table15[[#This Row],[Scott Correction]],[1]!Table2[[#All],[name]],[1]!Table2[[#All],[id]],"",0,1))</f>
        <v/>
      </c>
      <c r="F413" s="11" t="s">
        <v>4758</v>
      </c>
      <c r="G413" s="11" t="s">
        <v>4759</v>
      </c>
      <c r="H413" s="11"/>
      <c r="I413" s="11" t="s">
        <v>4760</v>
      </c>
      <c r="J413" s="11" t="s">
        <v>4761</v>
      </c>
      <c r="K413" s="11" t="s">
        <v>4762</v>
      </c>
      <c r="L413" s="13"/>
    </row>
    <row r="414" spans="1:12" ht="18" customHeight="1" x14ac:dyDescent="0.25">
      <c r="A414" s="8"/>
      <c r="B414" s="9">
        <v>342</v>
      </c>
      <c r="C414" s="6" t="str">
        <f>IFERROR(VLOOKUP(B414,[1]customers!$A:$B,2,0),"")</f>
        <v>International Packaging Co.</v>
      </c>
      <c r="D414" s="6" t="s">
        <v>3191</v>
      </c>
      <c r="E414" s="6" t="str" cm="1">
        <f t="array" ref="E414">IF(Table15[[#This Row],[Scott Correction]]="",Table15[[#This Row],[customer_id]],_xlfn.XLOOKUP(Table15[[#This Row],[Scott Correction]],[1]!Table2[[#All],[name]],[1]!Table2[[#All],[id]],"",0,1))</f>
        <v/>
      </c>
      <c r="F414" s="9" t="s">
        <v>4763</v>
      </c>
      <c r="G414" s="9" t="s">
        <v>4764</v>
      </c>
      <c r="H414" s="9"/>
      <c r="I414" s="9" t="s">
        <v>4765</v>
      </c>
      <c r="J414" s="9"/>
      <c r="K414" s="9" t="s">
        <v>4766</v>
      </c>
      <c r="L414" s="10"/>
    </row>
    <row r="415" spans="1:12" ht="18" customHeight="1" x14ac:dyDescent="0.25">
      <c r="A415" s="12"/>
      <c r="B415" s="11" t="s">
        <v>3190</v>
      </c>
      <c r="C415" s="11" t="str">
        <f>IFERROR(VLOOKUP(B415,[1]customers!$A:$B,2,0),"")</f>
        <v/>
      </c>
      <c r="D415" s="11" t="s">
        <v>3191</v>
      </c>
      <c r="E415" s="11" t="str" cm="1">
        <f t="array" ref="E415">IF(Table15[[#This Row],[Scott Correction]]="",Table15[[#This Row],[customer_id]],_xlfn.XLOOKUP(Table15[[#This Row],[Scott Correction]],[1]!Table2[[#All],[name]],[1]!Table2[[#All],[id]],"",0,1))</f>
        <v/>
      </c>
      <c r="F415" s="11" t="s">
        <v>4767</v>
      </c>
      <c r="G415" s="11" t="s">
        <v>4768</v>
      </c>
      <c r="H415" s="11"/>
      <c r="I415" s="11" t="s">
        <v>4769</v>
      </c>
      <c r="J415" s="11" t="s">
        <v>4770</v>
      </c>
      <c r="K415" s="11"/>
      <c r="L415" s="13"/>
    </row>
    <row r="416" spans="1:12" ht="18" customHeight="1" x14ac:dyDescent="0.25">
      <c r="A416" s="12"/>
      <c r="B416" s="11" t="s">
        <v>3190</v>
      </c>
      <c r="C416" s="11" t="str">
        <f>IFERROR(VLOOKUP(B416,[1]customers!$A:$B,2,0),"")</f>
        <v/>
      </c>
      <c r="D416" s="11" t="s">
        <v>3191</v>
      </c>
      <c r="E416" s="11" t="str" cm="1">
        <f t="array" ref="E416">IF(Table15[[#This Row],[Scott Correction]]="",Table15[[#This Row],[customer_id]],_xlfn.XLOOKUP(Table15[[#This Row],[Scott Correction]],[1]!Table2[[#All],[name]],[1]!Table2[[#All],[id]],"",0,1))</f>
        <v/>
      </c>
      <c r="F416" s="11" t="s">
        <v>4771</v>
      </c>
      <c r="G416" s="11" t="s">
        <v>4772</v>
      </c>
      <c r="H416" s="11"/>
      <c r="I416" s="11" t="s">
        <v>4773</v>
      </c>
      <c r="J416" s="11"/>
      <c r="K416" s="11" t="s">
        <v>4774</v>
      </c>
      <c r="L416" s="13"/>
    </row>
    <row r="417" spans="1:12" ht="18" customHeight="1" x14ac:dyDescent="0.25">
      <c r="A417" s="12"/>
      <c r="B417" s="11" t="s">
        <v>3190</v>
      </c>
      <c r="C417" s="11" t="str">
        <f>IFERROR(VLOOKUP(B417,[1]customers!$A:$B,2,0),"")</f>
        <v/>
      </c>
      <c r="D417" s="11" t="s">
        <v>3191</v>
      </c>
      <c r="E417" s="11" t="str" cm="1">
        <f t="array" ref="E417">IF(Table15[[#This Row],[Scott Correction]]="",Table15[[#This Row],[customer_id]],_xlfn.XLOOKUP(Table15[[#This Row],[Scott Correction]],[1]!Table2[[#All],[name]],[1]!Table2[[#All],[id]],"",0,1))</f>
        <v/>
      </c>
      <c r="F417" s="11" t="s">
        <v>4775</v>
      </c>
      <c r="G417" s="11" t="s">
        <v>4776</v>
      </c>
      <c r="H417" s="11"/>
      <c r="I417" s="11" t="s">
        <v>4777</v>
      </c>
      <c r="J417" s="11"/>
      <c r="K417" s="11" t="s">
        <v>4778</v>
      </c>
      <c r="L417" s="13"/>
    </row>
    <row r="418" spans="1:12" ht="18" customHeight="1" x14ac:dyDescent="0.25">
      <c r="A418" s="12"/>
      <c r="B418" s="11" t="s">
        <v>3190</v>
      </c>
      <c r="C418" s="11" t="str">
        <f>IFERROR(VLOOKUP(B418,[1]customers!$A:$B,2,0),"")</f>
        <v/>
      </c>
      <c r="D418" s="11" t="s">
        <v>3191</v>
      </c>
      <c r="E418" s="11" t="str" cm="1">
        <f t="array" ref="E418">IF(Table15[[#This Row],[Scott Correction]]="",Table15[[#This Row],[customer_id]],_xlfn.XLOOKUP(Table15[[#This Row],[Scott Correction]],[1]!Table2[[#All],[name]],[1]!Table2[[#All],[id]],"",0,1))</f>
        <v/>
      </c>
      <c r="F418" s="11" t="s">
        <v>4779</v>
      </c>
      <c r="G418" s="11" t="s">
        <v>4780</v>
      </c>
      <c r="H418" s="11"/>
      <c r="I418" s="11" t="s">
        <v>4781</v>
      </c>
      <c r="J418" s="11"/>
      <c r="K418" s="11" t="s">
        <v>4782</v>
      </c>
      <c r="L418" s="13"/>
    </row>
    <row r="419" spans="1:12" ht="18" customHeight="1" x14ac:dyDescent="0.25">
      <c r="A419" s="12"/>
      <c r="B419" s="11" t="s">
        <v>3190</v>
      </c>
      <c r="C419" s="11" t="str">
        <f>IFERROR(VLOOKUP(B419,[1]customers!$A:$B,2,0),"")</f>
        <v/>
      </c>
      <c r="D419" s="11" t="s">
        <v>3191</v>
      </c>
      <c r="E419" s="11" t="str" cm="1">
        <f t="array" ref="E419">IF(Table15[[#This Row],[Scott Correction]]="",Table15[[#This Row],[customer_id]],_xlfn.XLOOKUP(Table15[[#This Row],[Scott Correction]],[1]!Table2[[#All],[name]],[1]!Table2[[#All],[id]],"",0,1))</f>
        <v/>
      </c>
      <c r="F419" s="11" t="s">
        <v>4783</v>
      </c>
      <c r="G419" s="11" t="s">
        <v>4784</v>
      </c>
      <c r="H419" s="11"/>
      <c r="I419" s="11" t="s">
        <v>4785</v>
      </c>
      <c r="J419" s="11"/>
      <c r="K419" s="11" t="s">
        <v>4786</v>
      </c>
      <c r="L419" s="13"/>
    </row>
    <row r="420" spans="1:12" ht="18" customHeight="1" x14ac:dyDescent="0.25">
      <c r="A420" s="12"/>
      <c r="B420" s="11" t="s">
        <v>3190</v>
      </c>
      <c r="C420" s="11" t="str">
        <f>IFERROR(VLOOKUP(B420,[1]customers!$A:$B,2,0),"")</f>
        <v/>
      </c>
      <c r="D420" s="11" t="s">
        <v>3191</v>
      </c>
      <c r="E420" s="11" t="str" cm="1">
        <f t="array" ref="E420">IF(Table15[[#This Row],[Scott Correction]]="",Table15[[#This Row],[customer_id]],_xlfn.XLOOKUP(Table15[[#This Row],[Scott Correction]],[1]!Table2[[#All],[name]],[1]!Table2[[#All],[id]],"",0,1))</f>
        <v/>
      </c>
      <c r="F420" s="11" t="s">
        <v>4787</v>
      </c>
      <c r="G420" s="11" t="s">
        <v>4788</v>
      </c>
      <c r="H420" s="11"/>
      <c r="I420" s="11" t="s">
        <v>4789</v>
      </c>
      <c r="J420" s="11" t="s">
        <v>4790</v>
      </c>
      <c r="K420" s="11" t="s">
        <v>4791</v>
      </c>
      <c r="L420" s="13"/>
    </row>
    <row r="421" spans="1:12" ht="18" customHeight="1" x14ac:dyDescent="0.25">
      <c r="A421" s="4"/>
      <c r="B421" s="5">
        <v>523</v>
      </c>
      <c r="C421" s="6" t="str">
        <f>IFERROR(VLOOKUP(B421,[1]customers!$A:$B,2,0),"")</f>
        <v>Pro Plastics Sales &amp; Service</v>
      </c>
      <c r="D421" s="6" t="s">
        <v>3191</v>
      </c>
      <c r="E421" s="6" t="str" cm="1">
        <f t="array" ref="E421">IF(Table15[[#This Row],[Scott Correction]]="",Table15[[#This Row],[customer_id]],_xlfn.XLOOKUP(Table15[[#This Row],[Scott Correction]],[1]!Table2[[#All],[name]],[1]!Table2[[#All],[id]],"",0,1))</f>
        <v/>
      </c>
      <c r="F421" s="5" t="s">
        <v>4792</v>
      </c>
      <c r="G421" s="5" t="s">
        <v>4793</v>
      </c>
      <c r="H421" s="5"/>
      <c r="I421" s="5" t="s">
        <v>4794</v>
      </c>
      <c r="J421" s="5" t="s">
        <v>4795</v>
      </c>
      <c r="K421" s="5" t="s">
        <v>4796</v>
      </c>
      <c r="L421" s="7"/>
    </row>
    <row r="422" spans="1:12" ht="18" customHeight="1" x14ac:dyDescent="0.25">
      <c r="A422" s="12"/>
      <c r="B422" s="11" t="s">
        <v>3190</v>
      </c>
      <c r="C422" s="11" t="str">
        <f>IFERROR(VLOOKUP(B422,[1]customers!$A:$B,2,0),"")</f>
        <v/>
      </c>
      <c r="D422" s="11" t="s">
        <v>3191</v>
      </c>
      <c r="E422" s="11" t="str" cm="1">
        <f t="array" ref="E422">IF(Table15[[#This Row],[Scott Correction]]="",Table15[[#This Row],[customer_id]],_xlfn.XLOOKUP(Table15[[#This Row],[Scott Correction]],[1]!Table2[[#All],[name]],[1]!Table2[[#All],[id]],"",0,1))</f>
        <v/>
      </c>
      <c r="F422" s="11" t="s">
        <v>4797</v>
      </c>
      <c r="G422" s="11" t="s">
        <v>4798</v>
      </c>
      <c r="H422" s="11"/>
      <c r="I422" s="11"/>
      <c r="J422" s="11"/>
      <c r="K422" s="11"/>
      <c r="L422" s="13"/>
    </row>
    <row r="423" spans="1:12" ht="18" customHeight="1" x14ac:dyDescent="0.25">
      <c r="A423" s="12"/>
      <c r="B423" s="11" t="s">
        <v>3190</v>
      </c>
      <c r="C423" s="11" t="str">
        <f>IFERROR(VLOOKUP(B423,[1]customers!$A:$B,2,0),"")</f>
        <v/>
      </c>
      <c r="D423" s="11" t="s">
        <v>3191</v>
      </c>
      <c r="E423" s="11" t="str" cm="1">
        <f t="array" ref="E423">IF(Table15[[#This Row],[Scott Correction]]="",Table15[[#This Row],[customer_id]],_xlfn.XLOOKUP(Table15[[#This Row],[Scott Correction]],[1]!Table2[[#All],[name]],[1]!Table2[[#All],[id]],"",0,1))</f>
        <v/>
      </c>
      <c r="F423" s="11" t="s">
        <v>4797</v>
      </c>
      <c r="G423" s="11" t="s">
        <v>4799</v>
      </c>
      <c r="H423" s="11"/>
      <c r="I423" s="11" t="s">
        <v>4800</v>
      </c>
      <c r="J423" s="11" t="s">
        <v>4801</v>
      </c>
      <c r="K423" s="11"/>
      <c r="L423" s="13"/>
    </row>
    <row r="424" spans="1:12" ht="18" customHeight="1" x14ac:dyDescent="0.25">
      <c r="A424" s="12"/>
      <c r="B424" s="11" t="s">
        <v>3190</v>
      </c>
      <c r="C424" s="11" t="str">
        <f>IFERROR(VLOOKUP(B424,[1]customers!$A:$B,2,0),"")</f>
        <v/>
      </c>
      <c r="D424" s="11" t="s">
        <v>3191</v>
      </c>
      <c r="E424" s="11" t="str" cm="1">
        <f t="array" ref="E424">IF(Table15[[#This Row],[Scott Correction]]="",Table15[[#This Row],[customer_id]],_xlfn.XLOOKUP(Table15[[#This Row],[Scott Correction]],[1]!Table2[[#All],[name]],[1]!Table2[[#All],[id]],"",0,1))</f>
        <v/>
      </c>
      <c r="F424" s="11" t="s">
        <v>4797</v>
      </c>
      <c r="G424" s="11" t="s">
        <v>4802</v>
      </c>
      <c r="H424" s="11"/>
      <c r="I424" s="11"/>
      <c r="J424" s="11" t="s">
        <v>4803</v>
      </c>
      <c r="K424" s="11" t="s">
        <v>4804</v>
      </c>
      <c r="L424" s="13"/>
    </row>
    <row r="425" spans="1:12" ht="18" customHeight="1" x14ac:dyDescent="0.25">
      <c r="A425" s="12"/>
      <c r="B425" s="11" t="s">
        <v>3190</v>
      </c>
      <c r="C425" s="11" t="str">
        <f>IFERROR(VLOOKUP(B425,[1]customers!$A:$B,2,0),"")</f>
        <v/>
      </c>
      <c r="D425" s="11" t="s">
        <v>3191</v>
      </c>
      <c r="E425" s="11" t="str" cm="1">
        <f t="array" ref="E425">IF(Table15[[#This Row],[Scott Correction]]="",Table15[[#This Row],[customer_id]],_xlfn.XLOOKUP(Table15[[#This Row],[Scott Correction]],[1]!Table2[[#All],[name]],[1]!Table2[[#All],[id]],"",0,1))</f>
        <v/>
      </c>
      <c r="F425" s="11" t="s">
        <v>4797</v>
      </c>
      <c r="G425" s="11" t="s">
        <v>4802</v>
      </c>
      <c r="H425" s="11"/>
      <c r="I425" s="11" t="s">
        <v>4805</v>
      </c>
      <c r="J425" s="11"/>
      <c r="K425" s="11" t="s">
        <v>4804</v>
      </c>
      <c r="L425" s="13"/>
    </row>
    <row r="426" spans="1:12" ht="18" customHeight="1" x14ac:dyDescent="0.25">
      <c r="A426" s="12"/>
      <c r="B426" s="11" t="s">
        <v>3190</v>
      </c>
      <c r="C426" s="11" t="str">
        <f>IFERROR(VLOOKUP(B426,[1]customers!$A:$B,2,0),"")</f>
        <v/>
      </c>
      <c r="D426" s="11" t="s">
        <v>3191</v>
      </c>
      <c r="E426" s="11" t="str" cm="1">
        <f t="array" ref="E426">IF(Table15[[#This Row],[Scott Correction]]="",Table15[[#This Row],[customer_id]],_xlfn.XLOOKUP(Table15[[#This Row],[Scott Correction]],[1]!Table2[[#All],[name]],[1]!Table2[[#All],[id]],"",0,1))</f>
        <v/>
      </c>
      <c r="F426" s="11" t="s">
        <v>4797</v>
      </c>
      <c r="G426" s="11" t="s">
        <v>4806</v>
      </c>
      <c r="H426" s="11"/>
      <c r="I426" s="11" t="s">
        <v>4807</v>
      </c>
      <c r="J426" s="11">
        <v>4408409490</v>
      </c>
      <c r="K426" s="11"/>
      <c r="L426" s="13"/>
    </row>
    <row r="427" spans="1:12" ht="18" customHeight="1" x14ac:dyDescent="0.25">
      <c r="A427" s="8"/>
      <c r="B427" s="9">
        <v>344</v>
      </c>
      <c r="C427" s="6" t="str">
        <f>IFERROR(VLOOKUP(B427,[1]customers!$A:$B,2,0),"")</f>
        <v>J&amp;J Precision Machine</v>
      </c>
      <c r="D427" s="6" t="s">
        <v>3191</v>
      </c>
      <c r="E427" s="6" t="str" cm="1">
        <f t="array" ref="E427">IF(Table15[[#This Row],[Scott Correction]]="",Table15[[#This Row],[customer_id]],_xlfn.XLOOKUP(Table15[[#This Row],[Scott Correction]],[1]!Table2[[#All],[name]],[1]!Table2[[#All],[id]],"",0,1))</f>
        <v/>
      </c>
      <c r="F427" s="9" t="s">
        <v>4808</v>
      </c>
      <c r="G427" s="9" t="s">
        <v>4809</v>
      </c>
      <c r="H427" s="9"/>
      <c r="I427" s="9" t="s">
        <v>4810</v>
      </c>
      <c r="J427" s="9" t="s">
        <v>4811</v>
      </c>
      <c r="K427" s="9" t="s">
        <v>4812</v>
      </c>
      <c r="L427" s="10"/>
    </row>
    <row r="428" spans="1:12" ht="18" customHeight="1" x14ac:dyDescent="0.25">
      <c r="A428" s="4"/>
      <c r="B428" s="5">
        <v>504</v>
      </c>
      <c r="C428" s="6" t="str">
        <f>IFERROR(VLOOKUP(B428,[1]customers!$A:$B,2,0),"")</f>
        <v>Pioneer Plastics</v>
      </c>
      <c r="D428" s="6" t="s">
        <v>3191</v>
      </c>
      <c r="E428" s="6" t="str" cm="1">
        <f t="array" ref="E428">IF(Table15[[#This Row],[Scott Correction]]="",Table15[[#This Row],[customer_id]],_xlfn.XLOOKUP(Table15[[#This Row],[Scott Correction]],[1]!Table2[[#All],[name]],[1]!Table2[[#All],[id]],"",0,1))</f>
        <v/>
      </c>
      <c r="F428" s="5" t="s">
        <v>4813</v>
      </c>
      <c r="G428" s="5" t="s">
        <v>4814</v>
      </c>
      <c r="H428" s="5"/>
      <c r="I428" s="5"/>
      <c r="J428" s="5" t="s">
        <v>4815</v>
      </c>
      <c r="K428" s="5"/>
      <c r="L428" s="7"/>
    </row>
    <row r="429" spans="1:12" ht="18" customHeight="1" x14ac:dyDescent="0.25">
      <c r="A429" s="8"/>
      <c r="B429" s="9">
        <v>504</v>
      </c>
      <c r="C429" s="6" t="str">
        <f>IFERROR(VLOOKUP(B429,[1]customers!$A:$B,2,0),"")</f>
        <v>Pioneer Plastics</v>
      </c>
      <c r="D429" s="6" t="s">
        <v>3191</v>
      </c>
      <c r="E429" s="6" t="str" cm="1">
        <f t="array" ref="E429">IF(Table15[[#This Row],[Scott Correction]]="",Table15[[#This Row],[customer_id]],_xlfn.XLOOKUP(Table15[[#This Row],[Scott Correction]],[1]!Table2[[#All],[name]],[1]!Table2[[#All],[id]],"",0,1))</f>
        <v/>
      </c>
      <c r="F429" s="9" t="s">
        <v>4813</v>
      </c>
      <c r="G429" s="9" t="s">
        <v>4816</v>
      </c>
      <c r="H429" s="9"/>
      <c r="I429" s="9" t="s">
        <v>4817</v>
      </c>
      <c r="J429" s="9"/>
      <c r="K429" s="9" t="s">
        <v>4818</v>
      </c>
      <c r="L429" s="10"/>
    </row>
    <row r="430" spans="1:12" ht="18" customHeight="1" x14ac:dyDescent="0.25">
      <c r="A430" s="12"/>
      <c r="B430" s="11" t="s">
        <v>3190</v>
      </c>
      <c r="C430" s="11" t="str">
        <f>IFERROR(VLOOKUP(B430,[1]customers!$A:$B,2,0),"")</f>
        <v/>
      </c>
      <c r="D430" s="11" t="s">
        <v>3191</v>
      </c>
      <c r="E430" s="11" t="str" cm="1">
        <f t="array" ref="E430">IF(Table15[[#This Row],[Scott Correction]]="",Table15[[#This Row],[customer_id]],_xlfn.XLOOKUP(Table15[[#This Row],[Scott Correction]],[1]!Table2[[#All],[name]],[1]!Table2[[#All],[id]],"",0,1))</f>
        <v/>
      </c>
      <c r="F430" s="11" t="s">
        <v>4819</v>
      </c>
      <c r="G430" s="11" t="s">
        <v>4820</v>
      </c>
      <c r="H430" s="11"/>
      <c r="I430" s="11" t="s">
        <v>4821</v>
      </c>
      <c r="J430" s="11" t="s">
        <v>4822</v>
      </c>
      <c r="K430" s="11"/>
      <c r="L430" s="13"/>
    </row>
    <row r="431" spans="1:12" ht="18" customHeight="1" x14ac:dyDescent="0.25">
      <c r="A431" s="8"/>
      <c r="B431" s="9">
        <v>65</v>
      </c>
      <c r="C431" s="6" t="str">
        <f>IFERROR(VLOOKUP(B431,[1]customers!$A:$B,2,0),"")</f>
        <v>ASC Industries Inc.</v>
      </c>
      <c r="D431" s="6" t="s">
        <v>3191</v>
      </c>
      <c r="E431" s="6" t="str" cm="1">
        <f t="array" ref="E431">IF(Table15[[#This Row],[Scott Correction]]="",Table15[[#This Row],[customer_id]],_xlfn.XLOOKUP(Table15[[#This Row],[Scott Correction]],[1]!Table2[[#All],[name]],[1]!Table2[[#All],[id]],"",0,1))</f>
        <v/>
      </c>
      <c r="F431" s="9" t="s">
        <v>4823</v>
      </c>
      <c r="G431" s="9" t="s">
        <v>4824</v>
      </c>
      <c r="H431" s="9"/>
      <c r="I431" s="9" t="s">
        <v>4825</v>
      </c>
      <c r="J431" s="9"/>
      <c r="K431" s="9" t="s">
        <v>4826</v>
      </c>
      <c r="L431" s="10"/>
    </row>
    <row r="432" spans="1:12" ht="18" customHeight="1" x14ac:dyDescent="0.25">
      <c r="A432" s="12"/>
      <c r="B432" s="11" t="s">
        <v>3190</v>
      </c>
      <c r="C432" s="11" t="str">
        <f>IFERROR(VLOOKUP(B432,[1]customers!$A:$B,2,0),"")</f>
        <v/>
      </c>
      <c r="D432" s="11" t="s">
        <v>3191</v>
      </c>
      <c r="E432" s="11" t="str" cm="1">
        <f t="array" ref="E432">IF(Table15[[#This Row],[Scott Correction]]="",Table15[[#This Row],[customer_id]],_xlfn.XLOOKUP(Table15[[#This Row],[Scott Correction]],[1]!Table2[[#All],[name]],[1]!Table2[[#All],[id]],"",0,1))</f>
        <v/>
      </c>
      <c r="F432" s="11" t="s">
        <v>4827</v>
      </c>
      <c r="G432" s="11" t="s">
        <v>4828</v>
      </c>
      <c r="H432" s="11"/>
      <c r="I432" s="11" t="s">
        <v>4829</v>
      </c>
      <c r="J432" s="11"/>
      <c r="K432" s="11" t="s">
        <v>4830</v>
      </c>
      <c r="L432" s="13"/>
    </row>
    <row r="433" spans="1:12" ht="18" customHeight="1" x14ac:dyDescent="0.25">
      <c r="A433" s="12"/>
      <c r="B433" s="11" t="s">
        <v>3190</v>
      </c>
      <c r="C433" s="11" t="str">
        <f>IFERROR(VLOOKUP(B433,[1]customers!$A:$B,2,0),"")</f>
        <v/>
      </c>
      <c r="D433" s="11" t="s">
        <v>3191</v>
      </c>
      <c r="E433" s="11" t="str" cm="1">
        <f t="array" ref="E433">IF(Table15[[#This Row],[Scott Correction]]="",Table15[[#This Row],[customer_id]],_xlfn.XLOOKUP(Table15[[#This Row],[Scott Correction]],[1]!Table2[[#All],[name]],[1]!Table2[[#All],[id]],"",0,1))</f>
        <v/>
      </c>
      <c r="F433" s="11" t="s">
        <v>4831</v>
      </c>
      <c r="G433" s="11" t="s">
        <v>4832</v>
      </c>
      <c r="H433" s="11"/>
      <c r="I433" s="11" t="s">
        <v>4833</v>
      </c>
      <c r="J433" s="11"/>
      <c r="K433" s="11" t="s">
        <v>4834</v>
      </c>
      <c r="L433" s="13"/>
    </row>
    <row r="434" spans="1:12" ht="18" customHeight="1" x14ac:dyDescent="0.25">
      <c r="A434" s="12"/>
      <c r="B434" s="11" t="s">
        <v>3190</v>
      </c>
      <c r="C434" s="11" t="str">
        <f>IFERROR(VLOOKUP(B434,[1]customers!$A:$B,2,0),"")</f>
        <v/>
      </c>
      <c r="D434" s="11" t="s">
        <v>3191</v>
      </c>
      <c r="E434" s="11" t="str" cm="1">
        <f t="array" ref="E434">IF(Table15[[#This Row],[Scott Correction]]="",Table15[[#This Row],[customer_id]],_xlfn.XLOOKUP(Table15[[#This Row],[Scott Correction]],[1]!Table2[[#All],[name]],[1]!Table2[[#All],[id]],"",0,1))</f>
        <v/>
      </c>
      <c r="F434" s="11" t="s">
        <v>4835</v>
      </c>
      <c r="G434" s="11" t="s">
        <v>4836</v>
      </c>
      <c r="H434" s="11"/>
      <c r="I434" s="11" t="s">
        <v>4837</v>
      </c>
      <c r="J434" s="11"/>
      <c r="K434" s="11" t="s">
        <v>4838</v>
      </c>
      <c r="L434" s="13"/>
    </row>
    <row r="435" spans="1:12" ht="18" customHeight="1" x14ac:dyDescent="0.25">
      <c r="A435" s="12"/>
      <c r="B435" s="11" t="s">
        <v>3190</v>
      </c>
      <c r="C435" s="11" t="str">
        <f>IFERROR(VLOOKUP(B435,[1]customers!$A:$B,2,0),"")</f>
        <v/>
      </c>
      <c r="D435" s="11" t="s">
        <v>3191</v>
      </c>
      <c r="E435" s="11" t="str" cm="1">
        <f t="array" ref="E435">IF(Table15[[#This Row],[Scott Correction]]="",Table15[[#This Row],[customer_id]],_xlfn.XLOOKUP(Table15[[#This Row],[Scott Correction]],[1]!Table2[[#All],[name]],[1]!Table2[[#All],[id]],"",0,1))</f>
        <v/>
      </c>
      <c r="F435" s="11" t="s">
        <v>4839</v>
      </c>
      <c r="G435" s="11" t="s">
        <v>4840</v>
      </c>
      <c r="H435" s="11"/>
      <c r="I435" s="11" t="s">
        <v>4841</v>
      </c>
      <c r="J435" s="11" t="s">
        <v>4842</v>
      </c>
      <c r="K435" s="11" t="s">
        <v>4843</v>
      </c>
      <c r="L435" s="13"/>
    </row>
    <row r="436" spans="1:12" ht="18" customHeight="1" x14ac:dyDescent="0.25">
      <c r="A436" s="12"/>
      <c r="B436" s="11" t="s">
        <v>3190</v>
      </c>
      <c r="C436" s="11" t="str">
        <f>IFERROR(VLOOKUP(B436,[1]customers!$A:$B,2,0),"")</f>
        <v/>
      </c>
      <c r="D436" s="11" t="s">
        <v>3191</v>
      </c>
      <c r="E436" s="11" t="str" cm="1">
        <f t="array" ref="E436">IF(Table15[[#This Row],[Scott Correction]]="",Table15[[#This Row],[customer_id]],_xlfn.XLOOKUP(Table15[[#This Row],[Scott Correction]],[1]!Table2[[#All],[name]],[1]!Table2[[#All],[id]],"",0,1))</f>
        <v/>
      </c>
      <c r="F436" s="11" t="s">
        <v>4844</v>
      </c>
      <c r="G436" s="11" t="s">
        <v>4845</v>
      </c>
      <c r="H436" s="11"/>
      <c r="I436" s="11" t="s">
        <v>4846</v>
      </c>
      <c r="J436" s="11" t="s">
        <v>4847</v>
      </c>
      <c r="K436" s="11" t="s">
        <v>4848</v>
      </c>
      <c r="L436" s="13"/>
    </row>
    <row r="437" spans="1:12" ht="18" customHeight="1" x14ac:dyDescent="0.25">
      <c r="A437" s="12"/>
      <c r="B437" s="11" t="s">
        <v>3190</v>
      </c>
      <c r="C437" s="11" t="str">
        <f>IFERROR(VLOOKUP(B437,[1]customers!$A:$B,2,0),"")</f>
        <v/>
      </c>
      <c r="D437" s="11" t="s">
        <v>3191</v>
      </c>
      <c r="E437" s="11" t="str" cm="1">
        <f t="array" ref="E437">IF(Table15[[#This Row],[Scott Correction]]="",Table15[[#This Row],[customer_id]],_xlfn.XLOOKUP(Table15[[#This Row],[Scott Correction]],[1]!Table2[[#All],[name]],[1]!Table2[[#All],[id]],"",0,1))</f>
        <v/>
      </c>
      <c r="F437" s="11" t="s">
        <v>4849</v>
      </c>
      <c r="G437" s="11" t="s">
        <v>4850</v>
      </c>
      <c r="H437" s="11"/>
      <c r="I437" s="11" t="s">
        <v>4851</v>
      </c>
      <c r="J437" s="11"/>
      <c r="K437" s="11">
        <v>3303512153</v>
      </c>
      <c r="L437" s="13"/>
    </row>
    <row r="438" spans="1:12" ht="18" customHeight="1" x14ac:dyDescent="0.25">
      <c r="A438" s="12"/>
      <c r="B438" s="11" t="s">
        <v>3190</v>
      </c>
      <c r="C438" s="11" t="str">
        <f>IFERROR(VLOOKUP(B438,[1]customers!$A:$B,2,0),"")</f>
        <v/>
      </c>
      <c r="D438" s="11" t="s">
        <v>3191</v>
      </c>
      <c r="E438" s="11" t="str" cm="1">
        <f t="array" ref="E438">IF(Table15[[#This Row],[Scott Correction]]="",Table15[[#This Row],[customer_id]],_xlfn.XLOOKUP(Table15[[#This Row],[Scott Correction]],[1]!Table2[[#All],[name]],[1]!Table2[[#All],[id]],"",0,1))</f>
        <v/>
      </c>
      <c r="F438" s="11" t="s">
        <v>4852</v>
      </c>
      <c r="G438" s="11" t="s">
        <v>4853</v>
      </c>
      <c r="H438" s="11"/>
      <c r="I438" s="11" t="s">
        <v>4854</v>
      </c>
      <c r="J438" s="11" t="s">
        <v>4855</v>
      </c>
      <c r="K438" s="11" t="s">
        <v>4856</v>
      </c>
      <c r="L438" s="13"/>
    </row>
    <row r="439" spans="1:12" ht="18" customHeight="1" x14ac:dyDescent="0.25">
      <c r="A439" s="12"/>
      <c r="B439" s="11" t="s">
        <v>3190</v>
      </c>
      <c r="C439" s="11" t="str">
        <f>IFERROR(VLOOKUP(B439,[1]customers!$A:$B,2,0),"")</f>
        <v/>
      </c>
      <c r="D439" s="11" t="s">
        <v>3191</v>
      </c>
      <c r="E439" s="11" t="str" cm="1">
        <f t="array" ref="E439">IF(Table15[[#This Row],[Scott Correction]]="",Table15[[#This Row],[customer_id]],_xlfn.XLOOKUP(Table15[[#This Row],[Scott Correction]],[1]!Table2[[#All],[name]],[1]!Table2[[#All],[id]],"",0,1))</f>
        <v/>
      </c>
      <c r="F439" s="11" t="s">
        <v>4857</v>
      </c>
      <c r="G439" s="11" t="s">
        <v>2934</v>
      </c>
      <c r="H439" s="11"/>
      <c r="I439" s="11"/>
      <c r="J439" s="11"/>
      <c r="K439" s="11" t="s">
        <v>4858</v>
      </c>
      <c r="L439" s="13"/>
    </row>
    <row r="440" spans="1:12" ht="18" customHeight="1" x14ac:dyDescent="0.25">
      <c r="A440" s="8"/>
      <c r="B440" s="9">
        <v>642</v>
      </c>
      <c r="C440" s="6" t="str">
        <f>IFERROR(VLOOKUP(B440,[1]customers!$A:$B,2,0),"")</f>
        <v>SRP Industries</v>
      </c>
      <c r="D440" s="6" t="s">
        <v>3191</v>
      </c>
      <c r="E440" s="6" t="str" cm="1">
        <f t="array" ref="E440">IF(Table15[[#This Row],[Scott Correction]]="",Table15[[#This Row],[customer_id]],_xlfn.XLOOKUP(Table15[[#This Row],[Scott Correction]],[1]!Table2[[#All],[name]],[1]!Table2[[#All],[id]],"",0,1))</f>
        <v/>
      </c>
      <c r="F440" s="9" t="s">
        <v>4859</v>
      </c>
      <c r="G440" s="9" t="s">
        <v>4860</v>
      </c>
      <c r="H440" s="9"/>
      <c r="I440" s="9"/>
      <c r="J440" s="9" t="s">
        <v>4861</v>
      </c>
      <c r="K440" s="9" t="s">
        <v>4862</v>
      </c>
      <c r="L440" s="10"/>
    </row>
    <row r="441" spans="1:12" ht="18" customHeight="1" x14ac:dyDescent="0.25">
      <c r="A441" s="4"/>
      <c r="B441" s="5">
        <v>642</v>
      </c>
      <c r="C441" s="6" t="str">
        <f>IFERROR(VLOOKUP(B441,[1]customers!$A:$B,2,0),"")</f>
        <v>SRP Industries</v>
      </c>
      <c r="D441" s="6" t="s">
        <v>3191</v>
      </c>
      <c r="E441" s="6" t="str" cm="1">
        <f t="array" ref="E441">IF(Table15[[#This Row],[Scott Correction]]="",Table15[[#This Row],[customer_id]],_xlfn.XLOOKUP(Table15[[#This Row],[Scott Correction]],[1]!Table2[[#All],[name]],[1]!Table2[[#All],[id]],"",0,1))</f>
        <v/>
      </c>
      <c r="F441" s="5" t="s">
        <v>4859</v>
      </c>
      <c r="G441" s="5" t="s">
        <v>4863</v>
      </c>
      <c r="H441" s="5"/>
      <c r="I441" s="5" t="s">
        <v>4864</v>
      </c>
      <c r="J441" s="5"/>
      <c r="K441" s="5" t="s">
        <v>4865</v>
      </c>
      <c r="L441" s="7"/>
    </row>
    <row r="442" spans="1:12" ht="18" customHeight="1" x14ac:dyDescent="0.25">
      <c r="A442" s="12"/>
      <c r="B442" s="11" t="s">
        <v>3190</v>
      </c>
      <c r="C442" s="11" t="str">
        <f>IFERROR(VLOOKUP(B442,[1]customers!$A:$B,2,0),"")</f>
        <v/>
      </c>
      <c r="D442" s="11" t="s">
        <v>3191</v>
      </c>
      <c r="E442" s="11" t="str" cm="1">
        <f t="array" ref="E442">IF(Table15[[#This Row],[Scott Correction]]="",Table15[[#This Row],[customer_id]],_xlfn.XLOOKUP(Table15[[#This Row],[Scott Correction]],[1]!Table2[[#All],[name]],[1]!Table2[[#All],[id]],"",0,1))</f>
        <v/>
      </c>
      <c r="F442" s="11" t="s">
        <v>4866</v>
      </c>
      <c r="G442" s="11" t="s">
        <v>4867</v>
      </c>
      <c r="H442" s="11"/>
      <c r="I442" s="11" t="s">
        <v>4868</v>
      </c>
      <c r="J442" s="11"/>
      <c r="K442" s="11" t="s">
        <v>4869</v>
      </c>
      <c r="L442" s="13"/>
    </row>
    <row r="443" spans="1:12" ht="18" customHeight="1" x14ac:dyDescent="0.25">
      <c r="A443" s="12"/>
      <c r="B443" s="11" t="s">
        <v>3190</v>
      </c>
      <c r="C443" s="11" t="str">
        <f>IFERROR(VLOOKUP(B443,[1]customers!$A:$B,2,0),"")</f>
        <v/>
      </c>
      <c r="D443" s="11" t="s">
        <v>3191</v>
      </c>
      <c r="E443" s="11" t="str" cm="1">
        <f t="array" ref="E443">IF(Table15[[#This Row],[Scott Correction]]="",Table15[[#This Row],[customer_id]],_xlfn.XLOOKUP(Table15[[#This Row],[Scott Correction]],[1]!Table2[[#All],[name]],[1]!Table2[[#All],[id]],"",0,1))</f>
        <v/>
      </c>
      <c r="F443" s="11" t="s">
        <v>4870</v>
      </c>
      <c r="G443" s="11" t="s">
        <v>4871</v>
      </c>
      <c r="H443" s="11"/>
      <c r="I443" s="11" t="s">
        <v>4872</v>
      </c>
      <c r="J443" s="11"/>
      <c r="K443" s="11" t="s">
        <v>4873</v>
      </c>
      <c r="L443" s="13"/>
    </row>
    <row r="444" spans="1:12" ht="18" customHeight="1" x14ac:dyDescent="0.25">
      <c r="A444" s="12"/>
      <c r="B444" s="11" t="s">
        <v>3190</v>
      </c>
      <c r="C444" s="11" t="str">
        <f>IFERROR(VLOOKUP(B444,[1]customers!$A:$B,2,0),"")</f>
        <v/>
      </c>
      <c r="D444" s="11" t="s">
        <v>3191</v>
      </c>
      <c r="E444" s="11" t="str" cm="1">
        <f t="array" ref="E444">IF(Table15[[#This Row],[Scott Correction]]="",Table15[[#This Row],[customer_id]],_xlfn.XLOOKUP(Table15[[#This Row],[Scott Correction]],[1]!Table2[[#All],[name]],[1]!Table2[[#All],[id]],"",0,1))</f>
        <v/>
      </c>
      <c r="F444" s="11" t="s">
        <v>4874</v>
      </c>
      <c r="G444" s="11" t="s">
        <v>4875</v>
      </c>
      <c r="H444" s="11"/>
      <c r="I444" s="11" t="s">
        <v>4876</v>
      </c>
      <c r="J444" s="11"/>
      <c r="K444" s="11" t="s">
        <v>4877</v>
      </c>
      <c r="L444" s="13"/>
    </row>
    <row r="445" spans="1:12" ht="18" customHeight="1" x14ac:dyDescent="0.25">
      <c r="A445" s="4"/>
      <c r="B445" s="5">
        <v>479</v>
      </c>
      <c r="C445" s="6" t="str">
        <f>IFERROR(VLOOKUP(B445,[1]customers!$A:$B,2,0),"")</f>
        <v>Ohio Storage Services</v>
      </c>
      <c r="D445" s="6" t="s">
        <v>3191</v>
      </c>
      <c r="E445" s="6" t="str" cm="1">
        <f t="array" ref="E445">IF(Table15[[#This Row],[Scott Correction]]="",Table15[[#This Row],[customer_id]],_xlfn.XLOOKUP(Table15[[#This Row],[Scott Correction]],[1]!Table2[[#All],[name]],[1]!Table2[[#All],[id]],"",0,1))</f>
        <v/>
      </c>
      <c r="F445" s="5" t="s">
        <v>4878</v>
      </c>
      <c r="G445" s="5" t="s">
        <v>4879</v>
      </c>
      <c r="H445" s="5"/>
      <c r="I445" s="5" t="s">
        <v>4880</v>
      </c>
      <c r="J445" s="5"/>
      <c r="K445" s="5" t="s">
        <v>4881</v>
      </c>
      <c r="L445" s="7"/>
    </row>
    <row r="446" spans="1:12" ht="18" customHeight="1" x14ac:dyDescent="0.25">
      <c r="A446" s="12"/>
      <c r="B446" s="11" t="s">
        <v>3190</v>
      </c>
      <c r="C446" s="11" t="str">
        <f>IFERROR(VLOOKUP(B446,[1]customers!$A:$B,2,0),"")</f>
        <v/>
      </c>
      <c r="D446" s="11" t="s">
        <v>3191</v>
      </c>
      <c r="E446" s="11" t="str" cm="1">
        <f t="array" ref="E446">IF(Table15[[#This Row],[Scott Correction]]="",Table15[[#This Row],[customer_id]],_xlfn.XLOOKUP(Table15[[#This Row],[Scott Correction]],[1]!Table2[[#All],[name]],[1]!Table2[[#All],[id]],"",0,1))</f>
        <v/>
      </c>
      <c r="F446" s="11" t="s">
        <v>4882</v>
      </c>
      <c r="G446" s="11" t="s">
        <v>4883</v>
      </c>
      <c r="H446" s="11"/>
      <c r="I446" s="11" t="s">
        <v>4884</v>
      </c>
      <c r="J446" s="11" t="s">
        <v>4885</v>
      </c>
      <c r="K446" s="11" t="s">
        <v>4886</v>
      </c>
      <c r="L446" s="13"/>
    </row>
    <row r="447" spans="1:12" ht="18" customHeight="1" x14ac:dyDescent="0.25">
      <c r="A447" s="12"/>
      <c r="B447" s="11" t="s">
        <v>3190</v>
      </c>
      <c r="C447" s="11" t="str">
        <f>IFERROR(VLOOKUP(B447,[1]customers!$A:$B,2,0),"")</f>
        <v/>
      </c>
      <c r="D447" s="11" t="s">
        <v>3191</v>
      </c>
      <c r="E447" s="11" t="str" cm="1">
        <f t="array" ref="E447">IF(Table15[[#This Row],[Scott Correction]]="",Table15[[#This Row],[customer_id]],_xlfn.XLOOKUP(Table15[[#This Row],[Scott Correction]],[1]!Table2[[#All],[name]],[1]!Table2[[#All],[id]],"",0,1))</f>
        <v/>
      </c>
      <c r="F447" s="11" t="s">
        <v>4882</v>
      </c>
      <c r="G447" s="11" t="s">
        <v>4887</v>
      </c>
      <c r="H447" s="11"/>
      <c r="I447" s="11" t="s">
        <v>4888</v>
      </c>
      <c r="J447" s="11" t="s">
        <v>4889</v>
      </c>
      <c r="K447" s="11" t="s">
        <v>4890</v>
      </c>
      <c r="L447" s="13"/>
    </row>
    <row r="448" spans="1:12" ht="18" customHeight="1" x14ac:dyDescent="0.25">
      <c r="A448" s="12"/>
      <c r="B448" s="11" t="s">
        <v>3190</v>
      </c>
      <c r="C448" s="11" t="str">
        <f>IFERROR(VLOOKUP(B448,[1]customers!$A:$B,2,0),"")</f>
        <v/>
      </c>
      <c r="D448" s="11" t="s">
        <v>3191</v>
      </c>
      <c r="E448" s="11" t="str" cm="1">
        <f t="array" ref="E448">IF(Table15[[#This Row],[Scott Correction]]="",Table15[[#This Row],[customer_id]],_xlfn.XLOOKUP(Table15[[#This Row],[Scott Correction]],[1]!Table2[[#All],[name]],[1]!Table2[[#All],[id]],"",0,1))</f>
        <v/>
      </c>
      <c r="F448" s="11" t="s">
        <v>4891</v>
      </c>
      <c r="G448" s="11" t="s">
        <v>4892</v>
      </c>
      <c r="H448" s="11"/>
      <c r="I448" s="11"/>
      <c r="J448" s="11"/>
      <c r="K448" s="11" t="s">
        <v>4893</v>
      </c>
      <c r="L448" s="13"/>
    </row>
    <row r="449" spans="1:12" ht="18" customHeight="1" x14ac:dyDescent="0.25">
      <c r="A449" s="8"/>
      <c r="B449" s="9">
        <v>507</v>
      </c>
      <c r="C449" s="6" t="str">
        <f>IFERROR(VLOOKUP(B449,[1]customers!$A:$B,2,0),"")</f>
        <v>Plastic Materials Inc</v>
      </c>
      <c r="D449" s="6" t="s">
        <v>3191</v>
      </c>
      <c r="E449" s="6" t="str" cm="1">
        <f t="array" ref="E449">IF(Table15[[#This Row],[Scott Correction]]="",Table15[[#This Row],[customer_id]],_xlfn.XLOOKUP(Table15[[#This Row],[Scott Correction]],[1]!Table2[[#All],[name]],[1]!Table2[[#All],[id]],"",0,1))</f>
        <v/>
      </c>
      <c r="F449" s="9" t="s">
        <v>4894</v>
      </c>
      <c r="G449" s="9" t="s">
        <v>4895</v>
      </c>
      <c r="H449" s="9"/>
      <c r="I449" s="9" t="s">
        <v>4896</v>
      </c>
      <c r="J449" s="9" t="s">
        <v>4897</v>
      </c>
      <c r="K449" s="9" t="s">
        <v>4898</v>
      </c>
      <c r="L449" s="10"/>
    </row>
    <row r="450" spans="1:12" ht="18" customHeight="1" x14ac:dyDescent="0.25">
      <c r="A450" s="12"/>
      <c r="B450" s="11" t="s">
        <v>3190</v>
      </c>
      <c r="C450" s="11" t="str">
        <f>IFERROR(VLOOKUP(B450,[1]customers!$A:$B,2,0),"")</f>
        <v/>
      </c>
      <c r="D450" s="11" t="s">
        <v>3191</v>
      </c>
      <c r="E450" s="11" t="str" cm="1">
        <f t="array" ref="E450">IF(Table15[[#This Row],[Scott Correction]]="",Table15[[#This Row],[customer_id]],_xlfn.XLOOKUP(Table15[[#This Row],[Scott Correction]],[1]!Table2[[#All],[name]],[1]!Table2[[#All],[id]],"",0,1))</f>
        <v/>
      </c>
      <c r="F450" s="11" t="s">
        <v>4899</v>
      </c>
      <c r="G450" s="11" t="s">
        <v>4900</v>
      </c>
      <c r="H450" s="11"/>
      <c r="I450" s="11" t="s">
        <v>4901</v>
      </c>
      <c r="J450" s="11"/>
      <c r="K450" s="11" t="s">
        <v>4902</v>
      </c>
      <c r="L450" s="13"/>
    </row>
    <row r="451" spans="1:12" ht="18" customHeight="1" x14ac:dyDescent="0.25">
      <c r="A451" s="12"/>
      <c r="B451" s="11" t="s">
        <v>3190</v>
      </c>
      <c r="C451" s="11" t="str">
        <f>IFERROR(VLOOKUP(B451,[1]customers!$A:$B,2,0),"")</f>
        <v/>
      </c>
      <c r="D451" s="11" t="s">
        <v>3191</v>
      </c>
      <c r="E451" s="11" t="str" cm="1">
        <f t="array" ref="E451">IF(Table15[[#This Row],[Scott Correction]]="",Table15[[#This Row],[customer_id]],_xlfn.XLOOKUP(Table15[[#This Row],[Scott Correction]],[1]!Table2[[#All],[name]],[1]!Table2[[#All],[id]],"",0,1))</f>
        <v/>
      </c>
      <c r="F451" s="11" t="s">
        <v>4903</v>
      </c>
      <c r="G451" s="11" t="s">
        <v>4904</v>
      </c>
      <c r="H451" s="11"/>
      <c r="I451" s="11" t="s">
        <v>4905</v>
      </c>
      <c r="J451" s="11"/>
      <c r="K451" s="11">
        <v>7244563488</v>
      </c>
      <c r="L451" s="13"/>
    </row>
    <row r="452" spans="1:12" ht="18" customHeight="1" x14ac:dyDescent="0.25">
      <c r="A452" s="12"/>
      <c r="B452" s="11" t="s">
        <v>3190</v>
      </c>
      <c r="C452" s="11" t="str">
        <f>IFERROR(VLOOKUP(B452,[1]customers!$A:$B,2,0),"")</f>
        <v/>
      </c>
      <c r="D452" s="11" t="s">
        <v>3191</v>
      </c>
      <c r="E452" s="11" t="str" cm="1">
        <f t="array" ref="E452">IF(Table15[[#This Row],[Scott Correction]]="",Table15[[#This Row],[customer_id]],_xlfn.XLOOKUP(Table15[[#This Row],[Scott Correction]],[1]!Table2[[#All],[name]],[1]!Table2[[#All],[id]],"",0,1))</f>
        <v/>
      </c>
      <c r="F452" s="11" t="s">
        <v>4906</v>
      </c>
      <c r="G452" s="11" t="s">
        <v>4907</v>
      </c>
      <c r="H452" s="11"/>
      <c r="I452" s="11" t="s">
        <v>4908</v>
      </c>
      <c r="J452" s="11"/>
      <c r="K452" s="11" t="s">
        <v>4909</v>
      </c>
      <c r="L452" s="13"/>
    </row>
    <row r="453" spans="1:12" ht="18" customHeight="1" x14ac:dyDescent="0.25">
      <c r="A453" s="12"/>
      <c r="B453" s="11" t="s">
        <v>3190</v>
      </c>
      <c r="C453" s="11" t="str">
        <f>IFERROR(VLOOKUP(B453,[1]customers!$A:$B,2,0),"")</f>
        <v/>
      </c>
      <c r="D453" s="11" t="s">
        <v>3191</v>
      </c>
      <c r="E453" s="11" t="str" cm="1">
        <f t="array" ref="E453">IF(Table15[[#This Row],[Scott Correction]]="",Table15[[#This Row],[customer_id]],_xlfn.XLOOKUP(Table15[[#This Row],[Scott Correction]],[1]!Table2[[#All],[name]],[1]!Table2[[#All],[id]],"",0,1))</f>
        <v/>
      </c>
      <c r="F453" s="11" t="s">
        <v>4910</v>
      </c>
      <c r="G453" s="11" t="s">
        <v>4911</v>
      </c>
      <c r="H453" s="11"/>
      <c r="I453" s="11" t="s">
        <v>4912</v>
      </c>
      <c r="J453" s="11" t="s">
        <v>4913</v>
      </c>
      <c r="K453" s="11" t="s">
        <v>4914</v>
      </c>
      <c r="L453" s="13"/>
    </row>
    <row r="454" spans="1:12" ht="18" customHeight="1" x14ac:dyDescent="0.25">
      <c r="A454" s="12"/>
      <c r="B454" s="11" t="s">
        <v>3190</v>
      </c>
      <c r="C454" s="11" t="str">
        <f>IFERROR(VLOOKUP(B454,[1]customers!$A:$B,2,0),"")</f>
        <v/>
      </c>
      <c r="D454" s="11" t="s">
        <v>3191</v>
      </c>
      <c r="E454" s="11" t="str" cm="1">
        <f t="array" ref="E454">IF(Table15[[#This Row],[Scott Correction]]="",Table15[[#This Row],[customer_id]],_xlfn.XLOOKUP(Table15[[#This Row],[Scott Correction]],[1]!Table2[[#All],[name]],[1]!Table2[[#All],[id]],"",0,1))</f>
        <v/>
      </c>
      <c r="F454" s="11" t="s">
        <v>4910</v>
      </c>
      <c r="G454" s="11" t="s">
        <v>4915</v>
      </c>
      <c r="H454" s="11"/>
      <c r="I454" s="11" t="s">
        <v>4916</v>
      </c>
      <c r="J454" s="11"/>
      <c r="K454" s="11" t="s">
        <v>4917</v>
      </c>
      <c r="L454" s="13"/>
    </row>
    <row r="455" spans="1:12" ht="18" customHeight="1" x14ac:dyDescent="0.25">
      <c r="A455" s="12"/>
      <c r="B455" s="11" t="s">
        <v>3190</v>
      </c>
      <c r="C455" s="11" t="str">
        <f>IFERROR(VLOOKUP(B455,[1]customers!$A:$B,2,0),"")</f>
        <v/>
      </c>
      <c r="D455" s="11" t="s">
        <v>3191</v>
      </c>
      <c r="E455" s="11" t="str" cm="1">
        <f t="array" ref="E455">IF(Table15[[#This Row],[Scott Correction]]="",Table15[[#This Row],[customer_id]],_xlfn.XLOOKUP(Table15[[#This Row],[Scott Correction]],[1]!Table2[[#All],[name]],[1]!Table2[[#All],[id]],"",0,1))</f>
        <v/>
      </c>
      <c r="F455" s="11" t="s">
        <v>4910</v>
      </c>
      <c r="G455" s="11" t="s">
        <v>2537</v>
      </c>
      <c r="H455" s="11"/>
      <c r="I455" s="11"/>
      <c r="J455" s="11"/>
      <c r="K455" s="11"/>
      <c r="L455" s="13"/>
    </row>
    <row r="456" spans="1:12" ht="18" customHeight="1" x14ac:dyDescent="0.25">
      <c r="A456" s="12"/>
      <c r="B456" s="11" t="s">
        <v>3190</v>
      </c>
      <c r="C456" s="11" t="str">
        <f>IFERROR(VLOOKUP(B456,[1]customers!$A:$B,2,0),"")</f>
        <v/>
      </c>
      <c r="D456" s="11" t="s">
        <v>3191</v>
      </c>
      <c r="E456" s="11" t="str" cm="1">
        <f t="array" ref="E456">IF(Table15[[#This Row],[Scott Correction]]="",Table15[[#This Row],[customer_id]],_xlfn.XLOOKUP(Table15[[#This Row],[Scott Correction]],[1]!Table2[[#All],[name]],[1]!Table2[[#All],[id]],"",0,1))</f>
        <v/>
      </c>
      <c r="F456" s="11" t="s">
        <v>4918</v>
      </c>
      <c r="G456" s="11" t="s">
        <v>4919</v>
      </c>
      <c r="H456" s="11"/>
      <c r="I456" s="11" t="s">
        <v>4920</v>
      </c>
      <c r="J456" s="11"/>
      <c r="K456" s="11" t="s">
        <v>2952</v>
      </c>
      <c r="L456" s="13"/>
    </row>
    <row r="457" spans="1:12" ht="18" customHeight="1" x14ac:dyDescent="0.25">
      <c r="A457" s="12"/>
      <c r="B457" s="11" t="s">
        <v>3190</v>
      </c>
      <c r="C457" s="11" t="str">
        <f>IFERROR(VLOOKUP(B457,[1]customers!$A:$B,2,0),"")</f>
        <v/>
      </c>
      <c r="D457" s="11" t="s">
        <v>3191</v>
      </c>
      <c r="E457" s="11" t="str" cm="1">
        <f t="array" ref="E457">IF(Table15[[#This Row],[Scott Correction]]="",Table15[[#This Row],[customer_id]],_xlfn.XLOOKUP(Table15[[#This Row],[Scott Correction]],[1]!Table2[[#All],[name]],[1]!Table2[[#All],[id]],"",0,1))</f>
        <v/>
      </c>
      <c r="F457" s="11" t="s">
        <v>4921</v>
      </c>
      <c r="G457" s="11" t="s">
        <v>4922</v>
      </c>
      <c r="H457" s="11"/>
      <c r="I457" s="11" t="s">
        <v>4923</v>
      </c>
      <c r="J457" s="11" t="s">
        <v>4924</v>
      </c>
      <c r="K457" s="11" t="s">
        <v>4925</v>
      </c>
      <c r="L457" s="13"/>
    </row>
    <row r="458" spans="1:12" ht="18" customHeight="1" x14ac:dyDescent="0.25">
      <c r="A458" s="12"/>
      <c r="B458" s="11" t="s">
        <v>3190</v>
      </c>
      <c r="C458" s="11" t="str">
        <f>IFERROR(VLOOKUP(B458,[1]customers!$A:$B,2,0),"")</f>
        <v/>
      </c>
      <c r="D458" s="11" t="s">
        <v>3191</v>
      </c>
      <c r="E458" s="11" t="str" cm="1">
        <f t="array" ref="E458">IF(Table15[[#This Row],[Scott Correction]]="",Table15[[#This Row],[customer_id]],_xlfn.XLOOKUP(Table15[[#This Row],[Scott Correction]],[1]!Table2[[#All],[name]],[1]!Table2[[#All],[id]],"",0,1))</f>
        <v/>
      </c>
      <c r="F458" s="11" t="s">
        <v>4926</v>
      </c>
      <c r="G458" s="11" t="s">
        <v>4927</v>
      </c>
      <c r="H458" s="11"/>
      <c r="I458" s="11"/>
      <c r="J458" s="11"/>
      <c r="K458" s="11"/>
      <c r="L458" s="13"/>
    </row>
    <row r="459" spans="1:12" ht="18" customHeight="1" x14ac:dyDescent="0.25">
      <c r="A459" s="8"/>
      <c r="B459" s="9">
        <v>351</v>
      </c>
      <c r="C459" s="6" t="str">
        <f>IFERROR(VLOOKUP(B459,[1]customers!$A:$B,2,0),"")</f>
        <v>Jet Rubber Co</v>
      </c>
      <c r="D459" s="6" t="s">
        <v>3191</v>
      </c>
      <c r="E459" s="6" t="str" cm="1">
        <f t="array" ref="E459">IF(Table15[[#This Row],[Scott Correction]]="",Table15[[#This Row],[customer_id]],_xlfn.XLOOKUP(Table15[[#This Row],[Scott Correction]],[1]!Table2[[#All],[name]],[1]!Table2[[#All],[id]],"",0,1))</f>
        <v/>
      </c>
      <c r="F459" s="9" t="s">
        <v>4928</v>
      </c>
      <c r="G459" s="9" t="s">
        <v>4929</v>
      </c>
      <c r="H459" s="9"/>
      <c r="I459" s="9" t="s">
        <v>4930</v>
      </c>
      <c r="J459" s="9"/>
      <c r="K459" s="9" t="s">
        <v>4931</v>
      </c>
      <c r="L459" s="10"/>
    </row>
    <row r="460" spans="1:12" ht="18" customHeight="1" x14ac:dyDescent="0.25">
      <c r="A460" s="12"/>
      <c r="B460" s="11" t="s">
        <v>3190</v>
      </c>
      <c r="C460" s="11" t="str">
        <f>IFERROR(VLOOKUP(B460,[1]customers!$A:$B,2,0),"")</f>
        <v/>
      </c>
      <c r="D460" s="11" t="s">
        <v>3191</v>
      </c>
      <c r="E460" s="11" t="str" cm="1">
        <f t="array" ref="E460">IF(Table15[[#This Row],[Scott Correction]]="",Table15[[#This Row],[customer_id]],_xlfn.XLOOKUP(Table15[[#This Row],[Scott Correction]],[1]!Table2[[#All],[name]],[1]!Table2[[#All],[id]],"",0,1))</f>
        <v/>
      </c>
      <c r="F460" s="11" t="s">
        <v>4932</v>
      </c>
      <c r="G460" s="11" t="s">
        <v>4933</v>
      </c>
      <c r="H460" s="11"/>
      <c r="I460" s="11" t="s">
        <v>4934</v>
      </c>
      <c r="J460" s="11" t="s">
        <v>4935</v>
      </c>
      <c r="K460" s="11"/>
      <c r="L460" s="13"/>
    </row>
    <row r="461" spans="1:12" ht="18" customHeight="1" x14ac:dyDescent="0.25">
      <c r="A461" s="12"/>
      <c r="B461" s="11" t="s">
        <v>3190</v>
      </c>
      <c r="C461" s="11" t="str">
        <f>IFERROR(VLOOKUP(B461,[1]customers!$A:$B,2,0),"")</f>
        <v/>
      </c>
      <c r="D461" s="11" t="s">
        <v>3191</v>
      </c>
      <c r="E461" s="11" t="str" cm="1">
        <f t="array" ref="E461">IF(Table15[[#This Row],[Scott Correction]]="",Table15[[#This Row],[customer_id]],_xlfn.XLOOKUP(Table15[[#This Row],[Scott Correction]],[1]!Table2[[#All],[name]],[1]!Table2[[#All],[id]],"",0,1))</f>
        <v/>
      </c>
      <c r="F461" s="11" t="s">
        <v>4936</v>
      </c>
      <c r="G461" s="11" t="s">
        <v>4937</v>
      </c>
      <c r="H461" s="11"/>
      <c r="I461" s="11"/>
      <c r="J461" s="11" t="s">
        <v>4938</v>
      </c>
      <c r="K461" s="11"/>
      <c r="L461" s="13"/>
    </row>
    <row r="462" spans="1:12" ht="18" customHeight="1" x14ac:dyDescent="0.25">
      <c r="A462" s="12"/>
      <c r="B462" s="11" t="s">
        <v>3190</v>
      </c>
      <c r="C462" s="11" t="str">
        <f>IFERROR(VLOOKUP(B462,[1]customers!$A:$B,2,0),"")</f>
        <v/>
      </c>
      <c r="D462" s="11" t="s">
        <v>3191</v>
      </c>
      <c r="E462" s="11" t="str" cm="1">
        <f t="array" ref="E462">IF(Table15[[#This Row],[Scott Correction]]="",Table15[[#This Row],[customer_id]],_xlfn.XLOOKUP(Table15[[#This Row],[Scott Correction]],[1]!Table2[[#All],[name]],[1]!Table2[[#All],[id]],"",0,1))</f>
        <v/>
      </c>
      <c r="F462" s="11" t="s">
        <v>4939</v>
      </c>
      <c r="G462" s="11" t="s">
        <v>4940</v>
      </c>
      <c r="H462" s="11"/>
      <c r="I462" s="11" t="s">
        <v>4941</v>
      </c>
      <c r="J462" s="11" t="s">
        <v>4942</v>
      </c>
      <c r="K462" s="11" t="s">
        <v>4943</v>
      </c>
      <c r="L462" s="13"/>
    </row>
    <row r="463" spans="1:12" ht="18" customHeight="1" x14ac:dyDescent="0.25">
      <c r="A463" s="12"/>
      <c r="B463" s="11" t="s">
        <v>3190</v>
      </c>
      <c r="C463" s="11" t="str">
        <f>IFERROR(VLOOKUP(B463,[1]customers!$A:$B,2,0),"")</f>
        <v/>
      </c>
      <c r="D463" s="11" t="s">
        <v>3191</v>
      </c>
      <c r="E463" s="11" t="str" cm="1">
        <f t="array" ref="E463">IF(Table15[[#This Row],[Scott Correction]]="",Table15[[#This Row],[customer_id]],_xlfn.XLOOKUP(Table15[[#This Row],[Scott Correction]],[1]!Table2[[#All],[name]],[1]!Table2[[#All],[id]],"",0,1))</f>
        <v/>
      </c>
      <c r="F463" s="11" t="s">
        <v>4944</v>
      </c>
      <c r="G463" s="11" t="s">
        <v>4945</v>
      </c>
      <c r="H463" s="11"/>
      <c r="I463" s="11" t="s">
        <v>4946</v>
      </c>
      <c r="J463" s="11"/>
      <c r="K463" s="11"/>
      <c r="L463" s="13"/>
    </row>
    <row r="464" spans="1:12" ht="18" customHeight="1" x14ac:dyDescent="0.25">
      <c r="A464" s="12"/>
      <c r="B464" s="11" t="s">
        <v>3190</v>
      </c>
      <c r="C464" s="11" t="str">
        <f>IFERROR(VLOOKUP(B464,[1]customers!$A:$B,2,0),"")</f>
        <v/>
      </c>
      <c r="D464" s="11" t="s">
        <v>3191</v>
      </c>
      <c r="E464" s="11" t="str" cm="1">
        <f t="array" ref="E464">IF(Table15[[#This Row],[Scott Correction]]="",Table15[[#This Row],[customer_id]],_xlfn.XLOOKUP(Table15[[#This Row],[Scott Correction]],[1]!Table2[[#All],[name]],[1]!Table2[[#All],[id]],"",0,1))</f>
        <v/>
      </c>
      <c r="F464" s="11" t="s">
        <v>4947</v>
      </c>
      <c r="G464" s="11" t="s">
        <v>4948</v>
      </c>
      <c r="H464" s="11"/>
      <c r="I464" s="11" t="s">
        <v>4949</v>
      </c>
      <c r="J464" s="11" t="s">
        <v>4950</v>
      </c>
      <c r="K464" s="11"/>
      <c r="L464" s="13"/>
    </row>
    <row r="465" spans="1:12" ht="18" customHeight="1" x14ac:dyDescent="0.25">
      <c r="A465" s="12"/>
      <c r="B465" s="11" t="s">
        <v>3190</v>
      </c>
      <c r="C465" s="11" t="str">
        <f>IFERROR(VLOOKUP(B465,[1]customers!$A:$B,2,0),"")</f>
        <v/>
      </c>
      <c r="D465" s="11" t="s">
        <v>3191</v>
      </c>
      <c r="E465" s="11" t="str" cm="1">
        <f t="array" ref="E465">IF(Table15[[#This Row],[Scott Correction]]="",Table15[[#This Row],[customer_id]],_xlfn.XLOOKUP(Table15[[#This Row],[Scott Correction]],[1]!Table2[[#All],[name]],[1]!Table2[[#All],[id]],"",0,1))</f>
        <v/>
      </c>
      <c r="F465" s="11" t="s">
        <v>4951</v>
      </c>
      <c r="G465" s="11" t="s">
        <v>4952</v>
      </c>
      <c r="H465" s="11"/>
      <c r="I465" s="11" t="s">
        <v>4953</v>
      </c>
      <c r="J465" s="11" t="s">
        <v>4954</v>
      </c>
      <c r="K465" s="11"/>
      <c r="L465" s="13"/>
    </row>
    <row r="466" spans="1:12" ht="18" customHeight="1" x14ac:dyDescent="0.25">
      <c r="A466" s="12"/>
      <c r="B466" s="11" t="s">
        <v>3190</v>
      </c>
      <c r="C466" s="11" t="str">
        <f>IFERROR(VLOOKUP(B466,[1]customers!$A:$B,2,0),"")</f>
        <v/>
      </c>
      <c r="D466" s="11" t="s">
        <v>3191</v>
      </c>
      <c r="E466" s="11" t="str" cm="1">
        <f t="array" ref="E466">IF(Table15[[#This Row],[Scott Correction]]="",Table15[[#This Row],[customer_id]],_xlfn.XLOOKUP(Table15[[#This Row],[Scott Correction]],[1]!Table2[[#All],[name]],[1]!Table2[[#All],[id]],"",0,1))</f>
        <v/>
      </c>
      <c r="F466" s="11" t="s">
        <v>4955</v>
      </c>
      <c r="G466" s="11" t="s">
        <v>4956</v>
      </c>
      <c r="H466" s="11"/>
      <c r="I466" s="11" t="s">
        <v>4957</v>
      </c>
      <c r="J466" s="11"/>
      <c r="K466" s="11" t="s">
        <v>4958</v>
      </c>
      <c r="L466" s="13"/>
    </row>
    <row r="467" spans="1:12" ht="18" customHeight="1" x14ac:dyDescent="0.25">
      <c r="A467" s="12"/>
      <c r="B467" s="11" t="s">
        <v>3190</v>
      </c>
      <c r="C467" s="11" t="str">
        <f>IFERROR(VLOOKUP(B467,[1]customers!$A:$B,2,0),"")</f>
        <v/>
      </c>
      <c r="D467" s="11" t="s">
        <v>3191</v>
      </c>
      <c r="E467" s="11" t="str" cm="1">
        <f t="array" ref="E467">IF(Table15[[#This Row],[Scott Correction]]="",Table15[[#This Row],[customer_id]],_xlfn.XLOOKUP(Table15[[#This Row],[Scott Correction]],[1]!Table2[[#All],[name]],[1]!Table2[[#All],[id]],"",0,1))</f>
        <v/>
      </c>
      <c r="F467" s="11" t="s">
        <v>4959</v>
      </c>
      <c r="G467" s="11" t="s">
        <v>4960</v>
      </c>
      <c r="H467" s="11"/>
      <c r="I467" s="11" t="s">
        <v>4961</v>
      </c>
      <c r="J467" s="11"/>
      <c r="K467" s="11" t="s">
        <v>4962</v>
      </c>
      <c r="L467" s="13"/>
    </row>
    <row r="468" spans="1:12" ht="18" customHeight="1" x14ac:dyDescent="0.25">
      <c r="A468" s="12"/>
      <c r="B468" s="11" t="s">
        <v>3190</v>
      </c>
      <c r="C468" s="11" t="str">
        <f>IFERROR(VLOOKUP(B468,[1]customers!$A:$B,2,0),"")</f>
        <v/>
      </c>
      <c r="D468" s="11" t="s">
        <v>3191</v>
      </c>
      <c r="E468" s="11" t="str" cm="1">
        <f t="array" ref="E468">IF(Table15[[#This Row],[Scott Correction]]="",Table15[[#This Row],[customer_id]],_xlfn.XLOOKUP(Table15[[#This Row],[Scott Correction]],[1]!Table2[[#All],[name]],[1]!Table2[[#All],[id]],"",0,1))</f>
        <v/>
      </c>
      <c r="F468" s="11" t="s">
        <v>4963</v>
      </c>
      <c r="G468" s="11" t="s">
        <v>4964</v>
      </c>
      <c r="H468" s="11"/>
      <c r="I468" s="11" t="s">
        <v>4965</v>
      </c>
      <c r="J468" s="11"/>
      <c r="K468" s="11" t="s">
        <v>4966</v>
      </c>
      <c r="L468" s="13"/>
    </row>
    <row r="469" spans="1:12" ht="18" customHeight="1" x14ac:dyDescent="0.25">
      <c r="A469" s="12"/>
      <c r="B469" s="11" t="s">
        <v>3190</v>
      </c>
      <c r="C469" s="11" t="str">
        <f>IFERROR(VLOOKUP(B469,[1]customers!$A:$B,2,0),"")</f>
        <v/>
      </c>
      <c r="D469" s="11" t="s">
        <v>3191</v>
      </c>
      <c r="E469" s="11" t="str" cm="1">
        <f t="array" ref="E469">IF(Table15[[#This Row],[Scott Correction]]="",Table15[[#This Row],[customer_id]],_xlfn.XLOOKUP(Table15[[#This Row],[Scott Correction]],[1]!Table2[[#All],[name]],[1]!Table2[[#All],[id]],"",0,1))</f>
        <v/>
      </c>
      <c r="F469" s="11" t="s">
        <v>4967</v>
      </c>
      <c r="G469" s="11" t="s">
        <v>4968</v>
      </c>
      <c r="H469" s="11"/>
      <c r="I469" s="11" t="s">
        <v>4969</v>
      </c>
      <c r="J469" s="11" t="s">
        <v>4970</v>
      </c>
      <c r="K469" s="11"/>
      <c r="L469" s="13"/>
    </row>
    <row r="470" spans="1:12" ht="18" customHeight="1" x14ac:dyDescent="0.25">
      <c r="A470" s="12"/>
      <c r="B470" s="11" t="s">
        <v>3190</v>
      </c>
      <c r="C470" s="11" t="str">
        <f>IFERROR(VLOOKUP(B470,[1]customers!$A:$B,2,0),"")</f>
        <v/>
      </c>
      <c r="D470" s="11" t="s">
        <v>3191</v>
      </c>
      <c r="E470" s="11" t="str" cm="1">
        <f t="array" ref="E470">IF(Table15[[#This Row],[Scott Correction]]="",Table15[[#This Row],[customer_id]],_xlfn.XLOOKUP(Table15[[#This Row],[Scott Correction]],[1]!Table2[[#All],[name]],[1]!Table2[[#All],[id]],"",0,1))</f>
        <v/>
      </c>
      <c r="F470" s="11" t="s">
        <v>4971</v>
      </c>
      <c r="G470" s="11" t="s">
        <v>4972</v>
      </c>
      <c r="H470" s="11"/>
      <c r="I470" s="11" t="s">
        <v>4973</v>
      </c>
      <c r="J470" s="11" t="s">
        <v>4974</v>
      </c>
      <c r="K470" s="11" t="s">
        <v>4975</v>
      </c>
      <c r="L470" s="13"/>
    </row>
    <row r="471" spans="1:12" ht="18" customHeight="1" x14ac:dyDescent="0.25">
      <c r="A471" s="12"/>
      <c r="B471" s="11" t="s">
        <v>3190</v>
      </c>
      <c r="C471" s="11" t="str">
        <f>IFERROR(VLOOKUP(B471,[1]customers!$A:$B,2,0),"")</f>
        <v/>
      </c>
      <c r="D471" s="11" t="s">
        <v>3191</v>
      </c>
      <c r="E471" s="11" t="str" cm="1">
        <f t="array" ref="E471">IF(Table15[[#This Row],[Scott Correction]]="",Table15[[#This Row],[customer_id]],_xlfn.XLOOKUP(Table15[[#This Row],[Scott Correction]],[1]!Table2[[#All],[name]],[1]!Table2[[#All],[id]],"",0,1))</f>
        <v/>
      </c>
      <c r="F471" s="11" t="s">
        <v>4976</v>
      </c>
      <c r="G471" s="11" t="s">
        <v>4977</v>
      </c>
      <c r="H471" s="11"/>
      <c r="I471" s="11"/>
      <c r="J471" s="11"/>
      <c r="K471" s="11" t="s">
        <v>4978</v>
      </c>
      <c r="L471" s="13"/>
    </row>
    <row r="472" spans="1:12" ht="18" customHeight="1" x14ac:dyDescent="0.25">
      <c r="A472" s="12"/>
      <c r="B472" s="11" t="s">
        <v>3190</v>
      </c>
      <c r="C472" s="11" t="str">
        <f>IFERROR(VLOOKUP(B472,[1]customers!$A:$B,2,0),"")</f>
        <v/>
      </c>
      <c r="D472" s="11" t="s">
        <v>3191</v>
      </c>
      <c r="E472" s="11" t="str" cm="1">
        <f t="array" ref="E472">IF(Table15[[#This Row],[Scott Correction]]="",Table15[[#This Row],[customer_id]],_xlfn.XLOOKUP(Table15[[#This Row],[Scott Correction]],[1]!Table2[[#All],[name]],[1]!Table2[[#All],[id]],"",0,1))</f>
        <v/>
      </c>
      <c r="F472" s="11" t="s">
        <v>4976</v>
      </c>
      <c r="G472" s="11" t="s">
        <v>4979</v>
      </c>
      <c r="H472" s="11"/>
      <c r="I472" s="11" t="s">
        <v>4980</v>
      </c>
      <c r="J472" s="11" t="s">
        <v>4981</v>
      </c>
      <c r="K472" s="11"/>
      <c r="L472" s="13"/>
    </row>
    <row r="473" spans="1:12" ht="18" customHeight="1" x14ac:dyDescent="0.25">
      <c r="A473" s="12"/>
      <c r="B473" s="11" t="s">
        <v>3190</v>
      </c>
      <c r="C473" s="11" t="str">
        <f>IFERROR(VLOOKUP(B473,[1]customers!$A:$B,2,0),"")</f>
        <v/>
      </c>
      <c r="D473" s="11" t="s">
        <v>3191</v>
      </c>
      <c r="E473" s="11" t="str" cm="1">
        <f t="array" ref="E473">IF(Table15[[#This Row],[Scott Correction]]="",Table15[[#This Row],[customer_id]],_xlfn.XLOOKUP(Table15[[#This Row],[Scott Correction]],[1]!Table2[[#All],[name]],[1]!Table2[[#All],[id]],"",0,1))</f>
        <v/>
      </c>
      <c r="F473" s="11" t="s">
        <v>4976</v>
      </c>
      <c r="G473" s="11" t="s">
        <v>4982</v>
      </c>
      <c r="H473" s="11"/>
      <c r="I473" s="11" t="s">
        <v>4983</v>
      </c>
      <c r="J473" s="11"/>
      <c r="K473" s="11"/>
      <c r="L473" s="13"/>
    </row>
    <row r="474" spans="1:12" ht="18" customHeight="1" x14ac:dyDescent="0.25">
      <c r="A474" s="12"/>
      <c r="B474" s="11" t="s">
        <v>3190</v>
      </c>
      <c r="C474" s="11" t="str">
        <f>IFERROR(VLOOKUP(B474,[1]customers!$A:$B,2,0),"")</f>
        <v/>
      </c>
      <c r="D474" s="11" t="s">
        <v>3191</v>
      </c>
      <c r="E474" s="11" t="str" cm="1">
        <f t="array" ref="E474">IF(Table15[[#This Row],[Scott Correction]]="",Table15[[#This Row],[customer_id]],_xlfn.XLOOKUP(Table15[[#This Row],[Scott Correction]],[1]!Table2[[#All],[name]],[1]!Table2[[#All],[id]],"",0,1))</f>
        <v/>
      </c>
      <c r="F474" s="11" t="s">
        <v>4984</v>
      </c>
      <c r="G474" s="11" t="s">
        <v>4985</v>
      </c>
      <c r="H474" s="11"/>
      <c r="I474" s="11" t="s">
        <v>4986</v>
      </c>
      <c r="J474" s="11"/>
      <c r="K474" s="11" t="s">
        <v>4987</v>
      </c>
      <c r="L474" s="13"/>
    </row>
    <row r="475" spans="1:12" ht="18" customHeight="1" x14ac:dyDescent="0.25">
      <c r="A475" s="12"/>
      <c r="B475" s="11" t="s">
        <v>3190</v>
      </c>
      <c r="C475" s="11" t="str">
        <f>IFERROR(VLOOKUP(B475,[1]customers!$A:$B,2,0),"")</f>
        <v/>
      </c>
      <c r="D475" s="11" t="s">
        <v>3191</v>
      </c>
      <c r="E475" s="11" t="str" cm="1">
        <f t="array" ref="E475">IF(Table15[[#This Row],[Scott Correction]]="",Table15[[#This Row],[customer_id]],_xlfn.XLOOKUP(Table15[[#This Row],[Scott Correction]],[1]!Table2[[#All],[name]],[1]!Table2[[#All],[id]],"",0,1))</f>
        <v/>
      </c>
      <c r="F475" s="11" t="s">
        <v>4988</v>
      </c>
      <c r="G475" s="11" t="s">
        <v>4989</v>
      </c>
      <c r="H475" s="11"/>
      <c r="I475" s="11" t="s">
        <v>4990</v>
      </c>
      <c r="J475" s="11"/>
      <c r="K475" s="11">
        <v>3309049208</v>
      </c>
      <c r="L475" s="13"/>
    </row>
    <row r="476" spans="1:12" ht="18" customHeight="1" x14ac:dyDescent="0.25">
      <c r="A476" s="12"/>
      <c r="B476" s="11" t="s">
        <v>3190</v>
      </c>
      <c r="C476" s="11" t="str">
        <f>IFERROR(VLOOKUP(B476,[1]customers!$A:$B,2,0),"")</f>
        <v/>
      </c>
      <c r="D476" s="11" t="s">
        <v>3191</v>
      </c>
      <c r="E476" s="11" t="str" cm="1">
        <f t="array" ref="E476">IF(Table15[[#This Row],[Scott Correction]]="",Table15[[#This Row],[customer_id]],_xlfn.XLOOKUP(Table15[[#This Row],[Scott Correction]],[1]!Table2[[#All],[name]],[1]!Table2[[#All],[id]],"",0,1))</f>
        <v/>
      </c>
      <c r="F476" s="11" t="s">
        <v>4991</v>
      </c>
      <c r="G476" s="11" t="s">
        <v>4992</v>
      </c>
      <c r="H476" s="11"/>
      <c r="I476" s="11" t="s">
        <v>4993</v>
      </c>
      <c r="J476" s="11" t="s">
        <v>4994</v>
      </c>
      <c r="K476" s="11" t="s">
        <v>4995</v>
      </c>
      <c r="L476" s="13"/>
    </row>
    <row r="477" spans="1:12" ht="18" customHeight="1" x14ac:dyDescent="0.25">
      <c r="A477" s="12"/>
      <c r="B477" s="11" t="s">
        <v>3190</v>
      </c>
      <c r="C477" s="11" t="str">
        <f>IFERROR(VLOOKUP(B477,[1]customers!$A:$B,2,0),"")</f>
        <v/>
      </c>
      <c r="D477" s="11" t="s">
        <v>3191</v>
      </c>
      <c r="E477" s="11" t="str" cm="1">
        <f t="array" ref="E477">IF(Table15[[#This Row],[Scott Correction]]="",Table15[[#This Row],[customer_id]],_xlfn.XLOOKUP(Table15[[#This Row],[Scott Correction]],[1]!Table2[[#All],[name]],[1]!Table2[[#All],[id]],"",0,1))</f>
        <v/>
      </c>
      <c r="F477" s="11" t="s">
        <v>4996</v>
      </c>
      <c r="G477" s="11" t="s">
        <v>4997</v>
      </c>
      <c r="H477" s="11"/>
      <c r="I477" s="11" t="s">
        <v>4998</v>
      </c>
      <c r="J477" s="11"/>
      <c r="K477" s="11" t="s">
        <v>4999</v>
      </c>
      <c r="L477" s="13"/>
    </row>
    <row r="478" spans="1:12" ht="18" customHeight="1" x14ac:dyDescent="0.25">
      <c r="A478" s="12"/>
      <c r="B478" s="11" t="s">
        <v>3190</v>
      </c>
      <c r="C478" s="11" t="str">
        <f>IFERROR(VLOOKUP(B478,[1]customers!$A:$B,2,0),"")</f>
        <v/>
      </c>
      <c r="D478" s="11" t="s">
        <v>3191</v>
      </c>
      <c r="E478" s="11" t="str" cm="1">
        <f t="array" ref="E478">IF(Table15[[#This Row],[Scott Correction]]="",Table15[[#This Row],[customer_id]],_xlfn.XLOOKUP(Table15[[#This Row],[Scott Correction]],[1]!Table2[[#All],[name]],[1]!Table2[[#All],[id]],"",0,1))</f>
        <v/>
      </c>
      <c r="F478" s="11" t="s">
        <v>5000</v>
      </c>
      <c r="G478" s="11" t="s">
        <v>5001</v>
      </c>
      <c r="H478" s="11"/>
      <c r="I478" s="11" t="s">
        <v>5002</v>
      </c>
      <c r="J478" s="11" t="s">
        <v>5003</v>
      </c>
      <c r="K478" s="11"/>
      <c r="L478" s="13"/>
    </row>
    <row r="479" spans="1:12" ht="18" customHeight="1" x14ac:dyDescent="0.25">
      <c r="A479" s="12"/>
      <c r="B479" s="11" t="s">
        <v>3190</v>
      </c>
      <c r="C479" s="11" t="str">
        <f>IFERROR(VLOOKUP(B479,[1]customers!$A:$B,2,0),"")</f>
        <v/>
      </c>
      <c r="D479" s="11" t="s">
        <v>3191</v>
      </c>
      <c r="E479" s="11" t="str" cm="1">
        <f t="array" ref="E479">IF(Table15[[#This Row],[Scott Correction]]="",Table15[[#This Row],[customer_id]],_xlfn.XLOOKUP(Table15[[#This Row],[Scott Correction]],[1]!Table2[[#All],[name]],[1]!Table2[[#All],[id]],"",0,1))</f>
        <v/>
      </c>
      <c r="F479" s="11" t="s">
        <v>5004</v>
      </c>
      <c r="G479" s="11" t="s">
        <v>5005</v>
      </c>
      <c r="H479" s="11"/>
      <c r="I479" s="11" t="s">
        <v>5006</v>
      </c>
      <c r="J479" s="11"/>
      <c r="K479" s="11" t="s">
        <v>5007</v>
      </c>
      <c r="L479" s="13"/>
    </row>
    <row r="480" spans="1:12" ht="18" customHeight="1" x14ac:dyDescent="0.25">
      <c r="A480" s="12"/>
      <c r="B480" s="11" t="s">
        <v>3190</v>
      </c>
      <c r="C480" s="11" t="str">
        <f>IFERROR(VLOOKUP(B480,[1]customers!$A:$B,2,0),"")</f>
        <v/>
      </c>
      <c r="D480" s="11" t="s">
        <v>3191</v>
      </c>
      <c r="E480" s="11" t="str" cm="1">
        <f t="array" ref="E480">IF(Table15[[#This Row],[Scott Correction]]="",Table15[[#This Row],[customer_id]],_xlfn.XLOOKUP(Table15[[#This Row],[Scott Correction]],[1]!Table2[[#All],[name]],[1]!Table2[[#All],[id]],"",0,1))</f>
        <v/>
      </c>
      <c r="F480" s="11" t="s">
        <v>5008</v>
      </c>
      <c r="G480" s="11" t="s">
        <v>5009</v>
      </c>
      <c r="H480" s="11"/>
      <c r="I480" s="11" t="s">
        <v>5010</v>
      </c>
      <c r="J480" s="11" t="s">
        <v>5011</v>
      </c>
      <c r="K480" s="11" t="s">
        <v>2079</v>
      </c>
      <c r="L480" s="13"/>
    </row>
    <row r="481" spans="1:12" ht="18" customHeight="1" x14ac:dyDescent="0.25">
      <c r="A481" s="12"/>
      <c r="B481" s="11" t="s">
        <v>3190</v>
      </c>
      <c r="C481" s="11" t="str">
        <f>IFERROR(VLOOKUP(B481,[1]customers!$A:$B,2,0),"")</f>
        <v/>
      </c>
      <c r="D481" s="11" t="s">
        <v>3191</v>
      </c>
      <c r="E481" s="11" t="str" cm="1">
        <f t="array" ref="E481">IF(Table15[[#This Row],[Scott Correction]]="",Table15[[#This Row],[customer_id]],_xlfn.XLOOKUP(Table15[[#This Row],[Scott Correction]],[1]!Table2[[#All],[name]],[1]!Table2[[#All],[id]],"",0,1))</f>
        <v/>
      </c>
      <c r="F481" s="11" t="s">
        <v>5008</v>
      </c>
      <c r="G481" s="11" t="s">
        <v>5012</v>
      </c>
      <c r="H481" s="11"/>
      <c r="I481" s="11"/>
      <c r="J481" s="11"/>
      <c r="K481" s="11" t="s">
        <v>2079</v>
      </c>
      <c r="L481" s="13"/>
    </row>
    <row r="482" spans="1:12" ht="18" customHeight="1" x14ac:dyDescent="0.25">
      <c r="A482" s="12"/>
      <c r="B482" s="11" t="s">
        <v>3190</v>
      </c>
      <c r="C482" s="11" t="str">
        <f>IFERROR(VLOOKUP(B482,[1]customers!$A:$B,2,0),"")</f>
        <v/>
      </c>
      <c r="D482" s="11" t="s">
        <v>3191</v>
      </c>
      <c r="E482" s="11" t="str" cm="1">
        <f t="array" ref="E482">IF(Table15[[#This Row],[Scott Correction]]="",Table15[[#This Row],[customer_id]],_xlfn.XLOOKUP(Table15[[#This Row],[Scott Correction]],[1]!Table2[[#All],[name]],[1]!Table2[[#All],[id]],"",0,1))</f>
        <v/>
      </c>
      <c r="F482" s="11" t="s">
        <v>5013</v>
      </c>
      <c r="G482" s="11" t="s">
        <v>5014</v>
      </c>
      <c r="H482" s="11"/>
      <c r="I482" s="11" t="s">
        <v>5015</v>
      </c>
      <c r="J482" s="11"/>
      <c r="K482" s="11" t="s">
        <v>5016</v>
      </c>
      <c r="L482" s="13"/>
    </row>
    <row r="483" spans="1:12" ht="18" customHeight="1" x14ac:dyDescent="0.25">
      <c r="A483" s="8"/>
      <c r="B483" s="9">
        <v>28</v>
      </c>
      <c r="C483" s="6" t="str">
        <f>IFERROR(VLOOKUP(B483,[1]customers!$A:$B,2,0),"")</f>
        <v>Alan Ross Machinery</v>
      </c>
      <c r="D483" s="6" t="s">
        <v>3191</v>
      </c>
      <c r="E483" s="6" t="str" cm="1">
        <f t="array" ref="E483">IF(Table15[[#This Row],[Scott Correction]]="",Table15[[#This Row],[customer_id]],_xlfn.XLOOKUP(Table15[[#This Row],[Scott Correction]],[1]!Table2[[#All],[name]],[1]!Table2[[#All],[id]],"",0,1))</f>
        <v/>
      </c>
      <c r="F483" s="9" t="s">
        <v>5017</v>
      </c>
      <c r="G483" s="9" t="s">
        <v>5018</v>
      </c>
      <c r="H483" s="9"/>
      <c r="I483" s="9" t="s">
        <v>5019</v>
      </c>
      <c r="J483" s="9"/>
      <c r="K483" s="9">
        <v>3307153285</v>
      </c>
      <c r="L483" s="10"/>
    </row>
    <row r="484" spans="1:12" ht="18" customHeight="1" x14ac:dyDescent="0.25">
      <c r="A484" s="12"/>
      <c r="B484" s="11" t="s">
        <v>3190</v>
      </c>
      <c r="C484" s="11" t="str">
        <f>IFERROR(VLOOKUP(B484,[1]customers!$A:$B,2,0),"")</f>
        <v/>
      </c>
      <c r="D484" s="11" t="s">
        <v>3191</v>
      </c>
      <c r="E484" s="11" t="str" cm="1">
        <f t="array" ref="E484">IF(Table15[[#This Row],[Scott Correction]]="",Table15[[#This Row],[customer_id]],_xlfn.XLOOKUP(Table15[[#This Row],[Scott Correction]],[1]!Table2[[#All],[name]],[1]!Table2[[#All],[id]],"",0,1))</f>
        <v/>
      </c>
      <c r="F484" s="11" t="s">
        <v>5020</v>
      </c>
      <c r="G484" s="11" t="s">
        <v>5021</v>
      </c>
      <c r="H484" s="11"/>
      <c r="I484" s="11" t="s">
        <v>5022</v>
      </c>
      <c r="J484" s="11"/>
      <c r="K484" s="11"/>
      <c r="L484" s="13"/>
    </row>
    <row r="485" spans="1:12" ht="18" customHeight="1" x14ac:dyDescent="0.25">
      <c r="A485" s="12"/>
      <c r="B485" s="11" t="s">
        <v>3190</v>
      </c>
      <c r="C485" s="11" t="str">
        <f>IFERROR(VLOOKUP(B485,[1]customers!$A:$B,2,0),"")</f>
        <v/>
      </c>
      <c r="D485" s="11" t="s">
        <v>3191</v>
      </c>
      <c r="E485" s="11" t="str" cm="1">
        <f t="array" ref="E485">IF(Table15[[#This Row],[Scott Correction]]="",Table15[[#This Row],[customer_id]],_xlfn.XLOOKUP(Table15[[#This Row],[Scott Correction]],[1]!Table2[[#All],[name]],[1]!Table2[[#All],[id]],"",0,1))</f>
        <v/>
      </c>
      <c r="F485" s="11" t="s">
        <v>5023</v>
      </c>
      <c r="G485" s="11" t="s">
        <v>5024</v>
      </c>
      <c r="H485" s="11"/>
      <c r="I485" s="11" t="s">
        <v>5025</v>
      </c>
      <c r="J485" s="11"/>
      <c r="K485" s="11" t="s">
        <v>5026</v>
      </c>
      <c r="L485" s="13"/>
    </row>
    <row r="486" spans="1:12" ht="18" customHeight="1" x14ac:dyDescent="0.25">
      <c r="A486" s="12"/>
      <c r="B486" s="11" t="s">
        <v>3190</v>
      </c>
      <c r="C486" s="11" t="str">
        <f>IFERROR(VLOOKUP(B486,[1]customers!$A:$B,2,0),"")</f>
        <v/>
      </c>
      <c r="D486" s="11" t="s">
        <v>3191</v>
      </c>
      <c r="E486" s="11" t="str" cm="1">
        <f t="array" ref="E486">IF(Table15[[#This Row],[Scott Correction]]="",Table15[[#This Row],[customer_id]],_xlfn.XLOOKUP(Table15[[#This Row],[Scott Correction]],[1]!Table2[[#All],[name]],[1]!Table2[[#All],[id]],"",0,1))</f>
        <v/>
      </c>
      <c r="F486" s="11" t="s">
        <v>5027</v>
      </c>
      <c r="G486" s="11" t="s">
        <v>5028</v>
      </c>
      <c r="H486" s="11"/>
      <c r="I486" s="11"/>
      <c r="J486" s="11" t="s">
        <v>5029</v>
      </c>
      <c r="K486" s="11" t="s">
        <v>5030</v>
      </c>
      <c r="L486" s="13"/>
    </row>
    <row r="487" spans="1:12" ht="18" customHeight="1" x14ac:dyDescent="0.25">
      <c r="A487" s="12"/>
      <c r="B487" s="11" t="s">
        <v>3190</v>
      </c>
      <c r="C487" s="11" t="str">
        <f>IFERROR(VLOOKUP(B487,[1]customers!$A:$B,2,0),"")</f>
        <v/>
      </c>
      <c r="D487" s="11" t="s">
        <v>3191</v>
      </c>
      <c r="E487" s="11" t="str" cm="1">
        <f t="array" ref="E487">IF(Table15[[#This Row],[Scott Correction]]="",Table15[[#This Row],[customer_id]],_xlfn.XLOOKUP(Table15[[#This Row],[Scott Correction]],[1]!Table2[[#All],[name]],[1]!Table2[[#All],[id]],"",0,1))</f>
        <v/>
      </c>
      <c r="F487" s="11" t="s">
        <v>5031</v>
      </c>
      <c r="G487" s="11" t="s">
        <v>5032</v>
      </c>
      <c r="H487" s="11"/>
      <c r="I487" s="11" t="s">
        <v>5033</v>
      </c>
      <c r="J487" s="11"/>
      <c r="K487" s="11" t="s">
        <v>5034</v>
      </c>
      <c r="L487" s="13"/>
    </row>
    <row r="488" spans="1:12" ht="18" customHeight="1" x14ac:dyDescent="0.25">
      <c r="A488" s="4"/>
      <c r="B488" s="5">
        <v>374</v>
      </c>
      <c r="C488" s="6" t="str">
        <f>IFERROR(VLOOKUP(B488,[1]customers!$A:$B,2,0),"")</f>
        <v>Kent Corporation</v>
      </c>
      <c r="D488" s="6" t="s">
        <v>3191</v>
      </c>
      <c r="E488" s="6" t="str" cm="1">
        <f t="array" ref="E488">IF(Table15[[#This Row],[Scott Correction]]="",Table15[[#This Row],[customer_id]],_xlfn.XLOOKUP(Table15[[#This Row],[Scott Correction]],[1]!Table2[[#All],[name]],[1]!Table2[[#All],[id]],"",0,1))</f>
        <v/>
      </c>
      <c r="F488" s="5" t="s">
        <v>5035</v>
      </c>
      <c r="G488" s="5" t="s">
        <v>5036</v>
      </c>
      <c r="H488" s="5"/>
      <c r="I488" s="5" t="s">
        <v>5037</v>
      </c>
      <c r="J488" s="5" t="s">
        <v>5038</v>
      </c>
      <c r="K488" s="5" t="s">
        <v>5039</v>
      </c>
      <c r="L488" s="7"/>
    </row>
    <row r="489" spans="1:12" ht="18" customHeight="1" x14ac:dyDescent="0.25">
      <c r="A489" s="8"/>
      <c r="B489" s="9">
        <v>374</v>
      </c>
      <c r="C489" s="6" t="str">
        <f>IFERROR(VLOOKUP(B489,[1]customers!$A:$B,2,0),"")</f>
        <v>Kent Corporation</v>
      </c>
      <c r="D489" s="6" t="s">
        <v>3191</v>
      </c>
      <c r="E489" s="6" t="str" cm="1">
        <f t="array" ref="E489">IF(Table15[[#This Row],[Scott Correction]]="",Table15[[#This Row],[customer_id]],_xlfn.XLOOKUP(Table15[[#This Row],[Scott Correction]],[1]!Table2[[#All],[name]],[1]!Table2[[#All],[id]],"",0,1))</f>
        <v/>
      </c>
      <c r="F489" s="9" t="s">
        <v>5035</v>
      </c>
      <c r="G489" s="9" t="s">
        <v>5040</v>
      </c>
      <c r="H489" s="9"/>
      <c r="I489" s="9" t="s">
        <v>5041</v>
      </c>
      <c r="J489" s="9"/>
      <c r="K489" s="9" t="s">
        <v>5042</v>
      </c>
      <c r="L489" s="10"/>
    </row>
    <row r="490" spans="1:12" ht="18" customHeight="1" x14ac:dyDescent="0.25">
      <c r="A490" s="12"/>
      <c r="B490" s="11" t="s">
        <v>3190</v>
      </c>
      <c r="C490" s="11" t="str">
        <f>IFERROR(VLOOKUP(B490,[1]customers!$A:$B,2,0),"")</f>
        <v/>
      </c>
      <c r="D490" s="11" t="s">
        <v>3191</v>
      </c>
      <c r="E490" s="11" t="str" cm="1">
        <f t="array" ref="E490">IF(Table15[[#This Row],[Scott Correction]]="",Table15[[#This Row],[customer_id]],_xlfn.XLOOKUP(Table15[[#This Row],[Scott Correction]],[1]!Table2[[#All],[name]],[1]!Table2[[#All],[id]],"",0,1))</f>
        <v/>
      </c>
      <c r="F490" s="11" t="s">
        <v>5043</v>
      </c>
      <c r="G490" s="11" t="s">
        <v>5044</v>
      </c>
      <c r="H490" s="11"/>
      <c r="I490" s="11"/>
      <c r="J490" s="11"/>
      <c r="K490" s="11" t="s">
        <v>5045</v>
      </c>
      <c r="L490" s="13"/>
    </row>
    <row r="491" spans="1:12" ht="18" customHeight="1" x14ac:dyDescent="0.25">
      <c r="A491" s="12"/>
      <c r="B491" s="11" t="s">
        <v>3190</v>
      </c>
      <c r="C491" s="11" t="str">
        <f>IFERROR(VLOOKUP(B491,[1]customers!$A:$B,2,0),"")</f>
        <v/>
      </c>
      <c r="D491" s="11" t="s">
        <v>3191</v>
      </c>
      <c r="E491" s="11" t="str" cm="1">
        <f t="array" ref="E491">IF(Table15[[#This Row],[Scott Correction]]="",Table15[[#This Row],[customer_id]],_xlfn.XLOOKUP(Table15[[#This Row],[Scott Correction]],[1]!Table2[[#All],[name]],[1]!Table2[[#All],[id]],"",0,1))</f>
        <v/>
      </c>
      <c r="F491" s="11" t="s">
        <v>5046</v>
      </c>
      <c r="G491" s="11" t="s">
        <v>5047</v>
      </c>
      <c r="H491" s="11"/>
      <c r="I491" s="11" t="s">
        <v>5048</v>
      </c>
      <c r="J491" s="11" t="s">
        <v>5049</v>
      </c>
      <c r="K491" s="11" t="s">
        <v>5050</v>
      </c>
      <c r="L491" s="13"/>
    </row>
    <row r="492" spans="1:12" ht="18" customHeight="1" x14ac:dyDescent="0.25">
      <c r="A492" s="12"/>
      <c r="B492" s="11" t="s">
        <v>3190</v>
      </c>
      <c r="C492" s="11" t="str">
        <f>IFERROR(VLOOKUP(B492,[1]customers!$A:$B,2,0),"")</f>
        <v/>
      </c>
      <c r="D492" s="11" t="s">
        <v>3191</v>
      </c>
      <c r="E492" s="11" t="str" cm="1">
        <f t="array" ref="E492">IF(Table15[[#This Row],[Scott Correction]]="",Table15[[#This Row],[customer_id]],_xlfn.XLOOKUP(Table15[[#This Row],[Scott Correction]],[1]!Table2[[#All],[name]],[1]!Table2[[#All],[id]],"",0,1))</f>
        <v/>
      </c>
      <c r="F492" s="11" t="s">
        <v>5051</v>
      </c>
      <c r="G492" s="11" t="s">
        <v>5052</v>
      </c>
      <c r="H492" s="11"/>
      <c r="I492" s="11" t="s">
        <v>5053</v>
      </c>
      <c r="J492" s="11" t="s">
        <v>5054</v>
      </c>
      <c r="K492" s="11" t="s">
        <v>5055</v>
      </c>
      <c r="L492" s="13"/>
    </row>
    <row r="493" spans="1:12" ht="18" customHeight="1" x14ac:dyDescent="0.25">
      <c r="A493" s="8"/>
      <c r="B493" s="9">
        <v>496</v>
      </c>
      <c r="C493" s="6" t="str">
        <f>IFERROR(VLOOKUP(B493,[1]customers!$A:$B,2,0),"")</f>
        <v>Peevy Construction</v>
      </c>
      <c r="D493" s="6" t="s">
        <v>3191</v>
      </c>
      <c r="E493" s="6" t="str" cm="1">
        <f t="array" ref="E493">IF(Table15[[#This Row],[Scott Correction]]="",Table15[[#This Row],[customer_id]],_xlfn.XLOOKUP(Table15[[#This Row],[Scott Correction]],[1]!Table2[[#All],[name]],[1]!Table2[[#All],[id]],"",0,1))</f>
        <v/>
      </c>
      <c r="F493" s="9" t="s">
        <v>5056</v>
      </c>
      <c r="G493" s="9" t="s">
        <v>5057</v>
      </c>
      <c r="H493" s="9"/>
      <c r="I493" s="9" t="s">
        <v>5058</v>
      </c>
      <c r="J493" s="9"/>
      <c r="K493" s="9" t="s">
        <v>5059</v>
      </c>
      <c r="L493" s="10"/>
    </row>
    <row r="494" spans="1:12" ht="18" customHeight="1" x14ac:dyDescent="0.25">
      <c r="A494" s="12"/>
      <c r="B494" s="11" t="s">
        <v>3190</v>
      </c>
      <c r="C494" s="11" t="str">
        <f>IFERROR(VLOOKUP(B494,[1]customers!$A:$B,2,0),"")</f>
        <v/>
      </c>
      <c r="D494" s="11" t="s">
        <v>3191</v>
      </c>
      <c r="E494" s="11" t="str" cm="1">
        <f t="array" ref="E494">IF(Table15[[#This Row],[Scott Correction]]="",Table15[[#This Row],[customer_id]],_xlfn.XLOOKUP(Table15[[#This Row],[Scott Correction]],[1]!Table2[[#All],[name]],[1]!Table2[[#All],[id]],"",0,1))</f>
        <v/>
      </c>
      <c r="F494" s="11" t="s">
        <v>5060</v>
      </c>
      <c r="G494" s="11" t="s">
        <v>5061</v>
      </c>
      <c r="H494" s="11"/>
      <c r="I494" s="11" t="s">
        <v>5062</v>
      </c>
      <c r="J494" s="11"/>
      <c r="K494" s="11" t="s">
        <v>5063</v>
      </c>
      <c r="L494" s="13"/>
    </row>
    <row r="495" spans="1:12" ht="18" customHeight="1" x14ac:dyDescent="0.25">
      <c r="A495" s="12"/>
      <c r="B495" s="11" t="s">
        <v>3190</v>
      </c>
      <c r="C495" s="11" t="str">
        <f>IFERROR(VLOOKUP(B495,[1]customers!$A:$B,2,0),"")</f>
        <v/>
      </c>
      <c r="D495" s="11" t="s">
        <v>3191</v>
      </c>
      <c r="E495" s="11" t="str" cm="1">
        <f t="array" ref="E495">IF(Table15[[#This Row],[Scott Correction]]="",Table15[[#This Row],[customer_id]],_xlfn.XLOOKUP(Table15[[#This Row],[Scott Correction]],[1]!Table2[[#All],[name]],[1]!Table2[[#All],[id]],"",0,1))</f>
        <v/>
      </c>
      <c r="F495" s="11" t="s">
        <v>5060</v>
      </c>
      <c r="G495" s="11" t="s">
        <v>5064</v>
      </c>
      <c r="H495" s="11"/>
      <c r="I495" s="11" t="s">
        <v>5065</v>
      </c>
      <c r="J495" s="11" t="s">
        <v>5066</v>
      </c>
      <c r="K495" s="11"/>
      <c r="L495" s="13"/>
    </row>
    <row r="496" spans="1:12" ht="18" customHeight="1" x14ac:dyDescent="0.25">
      <c r="A496" s="12"/>
      <c r="B496" s="11" t="s">
        <v>3190</v>
      </c>
      <c r="C496" s="11" t="str">
        <f>IFERROR(VLOOKUP(B496,[1]customers!$A:$B,2,0),"")</f>
        <v/>
      </c>
      <c r="D496" s="11" t="s">
        <v>3191</v>
      </c>
      <c r="E496" s="11" t="str" cm="1">
        <f t="array" ref="E496">IF(Table15[[#This Row],[Scott Correction]]="",Table15[[#This Row],[customer_id]],_xlfn.XLOOKUP(Table15[[#This Row],[Scott Correction]],[1]!Table2[[#All],[name]],[1]!Table2[[#All],[id]],"",0,1))</f>
        <v/>
      </c>
      <c r="F496" s="11" t="s">
        <v>5067</v>
      </c>
      <c r="G496" s="11" t="s">
        <v>5068</v>
      </c>
      <c r="H496" s="11"/>
      <c r="I496" s="11" t="s">
        <v>5069</v>
      </c>
      <c r="J496" s="11" t="s">
        <v>5070</v>
      </c>
      <c r="K496" s="11" t="s">
        <v>5071</v>
      </c>
      <c r="L496" s="13"/>
    </row>
    <row r="497" spans="1:12" ht="18" customHeight="1" x14ac:dyDescent="0.25">
      <c r="A497" s="12"/>
      <c r="B497" s="11" t="s">
        <v>3190</v>
      </c>
      <c r="C497" s="11" t="str">
        <f>IFERROR(VLOOKUP(B497,[1]customers!$A:$B,2,0),"")</f>
        <v/>
      </c>
      <c r="D497" s="11" t="s">
        <v>3191</v>
      </c>
      <c r="E497" s="11" t="str" cm="1">
        <f t="array" ref="E497">IF(Table15[[#This Row],[Scott Correction]]="",Table15[[#This Row],[customer_id]],_xlfn.XLOOKUP(Table15[[#This Row],[Scott Correction]],[1]!Table2[[#All],[name]],[1]!Table2[[#All],[id]],"",0,1))</f>
        <v/>
      </c>
      <c r="F497" s="11" t="s">
        <v>5072</v>
      </c>
      <c r="G497" s="11" t="s">
        <v>5073</v>
      </c>
      <c r="H497" s="11"/>
      <c r="I497" s="11" t="s">
        <v>5074</v>
      </c>
      <c r="J497" s="11" t="s">
        <v>5075</v>
      </c>
      <c r="K497" s="11"/>
      <c r="L497" s="13"/>
    </row>
    <row r="498" spans="1:12" ht="18" customHeight="1" x14ac:dyDescent="0.25">
      <c r="A498" s="12"/>
      <c r="B498" s="11" t="s">
        <v>3190</v>
      </c>
      <c r="C498" s="11" t="str">
        <f>IFERROR(VLOOKUP(B498,[1]customers!$A:$B,2,0),"")</f>
        <v/>
      </c>
      <c r="D498" s="11" t="s">
        <v>3191</v>
      </c>
      <c r="E498" s="11" t="str" cm="1">
        <f t="array" ref="E498">IF(Table15[[#This Row],[Scott Correction]]="",Table15[[#This Row],[customer_id]],_xlfn.XLOOKUP(Table15[[#This Row],[Scott Correction]],[1]!Table2[[#All],[name]],[1]!Table2[[#All],[id]],"",0,1))</f>
        <v/>
      </c>
      <c r="F498" s="11" t="s">
        <v>5076</v>
      </c>
      <c r="G498" s="11" t="s">
        <v>5077</v>
      </c>
      <c r="H498" s="11"/>
      <c r="I498" s="11" t="s">
        <v>5078</v>
      </c>
      <c r="J498" s="11"/>
      <c r="K498" s="11" t="s">
        <v>5079</v>
      </c>
      <c r="L498" s="13"/>
    </row>
    <row r="499" spans="1:12" ht="18" customHeight="1" x14ac:dyDescent="0.25">
      <c r="A499" s="12"/>
      <c r="B499" s="11" t="s">
        <v>3190</v>
      </c>
      <c r="C499" s="11" t="str">
        <f>IFERROR(VLOOKUP(B499,[1]customers!$A:$B,2,0),"")</f>
        <v/>
      </c>
      <c r="D499" s="11" t="s">
        <v>3191</v>
      </c>
      <c r="E499" s="11" t="str" cm="1">
        <f t="array" ref="E499">IF(Table15[[#This Row],[Scott Correction]]="",Table15[[#This Row],[customer_id]],_xlfn.XLOOKUP(Table15[[#This Row],[Scott Correction]],[1]!Table2[[#All],[name]],[1]!Table2[[#All],[id]],"",0,1))</f>
        <v/>
      </c>
      <c r="F499" s="11" t="s">
        <v>5080</v>
      </c>
      <c r="G499" s="11" t="s">
        <v>5081</v>
      </c>
      <c r="H499" s="11"/>
      <c r="I499" s="11"/>
      <c r="J499" s="11"/>
      <c r="K499" s="11" t="s">
        <v>5082</v>
      </c>
      <c r="L499" s="13"/>
    </row>
    <row r="500" spans="1:12" ht="18" customHeight="1" x14ac:dyDescent="0.25">
      <c r="A500" s="8"/>
      <c r="B500" s="9">
        <v>606</v>
      </c>
      <c r="C500" s="6" t="str">
        <f>IFERROR(VLOOKUP(B500,[1]customers!$A:$B,2,0),"")</f>
        <v>Scot Industries</v>
      </c>
      <c r="D500" s="6" t="s">
        <v>3191</v>
      </c>
      <c r="E500" s="6" t="str" cm="1">
        <f t="array" ref="E500">IF(Table15[[#This Row],[Scott Correction]]="",Table15[[#This Row],[customer_id]],_xlfn.XLOOKUP(Table15[[#This Row],[Scott Correction]],[1]!Table2[[#All],[name]],[1]!Table2[[#All],[id]],"",0,1))</f>
        <v/>
      </c>
      <c r="F500" s="9" t="s">
        <v>5083</v>
      </c>
      <c r="G500" s="9" t="s">
        <v>5084</v>
      </c>
      <c r="H500" s="9"/>
      <c r="I500" s="9" t="s">
        <v>5085</v>
      </c>
      <c r="J500" s="9"/>
      <c r="K500" s="9" t="s">
        <v>5086</v>
      </c>
      <c r="L500" s="10"/>
    </row>
    <row r="501" spans="1:12" ht="18" customHeight="1" x14ac:dyDescent="0.25">
      <c r="A501" s="4"/>
      <c r="B501" s="5">
        <v>606</v>
      </c>
      <c r="C501" s="6" t="str">
        <f>IFERROR(VLOOKUP(B501,[1]customers!$A:$B,2,0),"")</f>
        <v>Scot Industries</v>
      </c>
      <c r="D501" s="6" t="s">
        <v>3191</v>
      </c>
      <c r="E501" s="6" t="str" cm="1">
        <f t="array" ref="E501">IF(Table15[[#This Row],[Scott Correction]]="",Table15[[#This Row],[customer_id]],_xlfn.XLOOKUP(Table15[[#This Row],[Scott Correction]],[1]!Table2[[#All],[name]],[1]!Table2[[#All],[id]],"",0,1))</f>
        <v/>
      </c>
      <c r="F501" s="5" t="s">
        <v>5083</v>
      </c>
      <c r="G501" s="5" t="s">
        <v>5087</v>
      </c>
      <c r="H501" s="5"/>
      <c r="I501" s="5" t="s">
        <v>5088</v>
      </c>
      <c r="J501" s="5" t="s">
        <v>5089</v>
      </c>
      <c r="K501" s="5" t="s">
        <v>5090</v>
      </c>
      <c r="L501" s="7"/>
    </row>
    <row r="502" spans="1:12" ht="18" customHeight="1" x14ac:dyDescent="0.25">
      <c r="A502" s="8"/>
      <c r="B502" s="9">
        <v>606</v>
      </c>
      <c r="C502" s="6" t="str">
        <f>IFERROR(VLOOKUP(B502,[1]customers!$A:$B,2,0),"")</f>
        <v>Scot Industries</v>
      </c>
      <c r="D502" s="6" t="s">
        <v>3191</v>
      </c>
      <c r="E502" s="6" t="str" cm="1">
        <f t="array" ref="E502">IF(Table15[[#This Row],[Scott Correction]]="",Table15[[#This Row],[customer_id]],_xlfn.XLOOKUP(Table15[[#This Row],[Scott Correction]],[1]!Table2[[#All],[name]],[1]!Table2[[#All],[id]],"",0,1))</f>
        <v/>
      </c>
      <c r="F502" s="9" t="s">
        <v>5083</v>
      </c>
      <c r="G502" s="9" t="s">
        <v>5091</v>
      </c>
      <c r="H502" s="9"/>
      <c r="I502" s="9" t="s">
        <v>5092</v>
      </c>
      <c r="J502" s="9" t="s">
        <v>5093</v>
      </c>
      <c r="K502" s="9" t="s">
        <v>5094</v>
      </c>
      <c r="L502" s="10"/>
    </row>
    <row r="503" spans="1:12" ht="18" customHeight="1" x14ac:dyDescent="0.25">
      <c r="A503" s="12"/>
      <c r="B503" s="11" t="s">
        <v>3190</v>
      </c>
      <c r="C503" s="11" t="str">
        <f>IFERROR(VLOOKUP(B503,[1]customers!$A:$B,2,0),"")</f>
        <v/>
      </c>
      <c r="D503" s="11" t="s">
        <v>3191</v>
      </c>
      <c r="E503" s="11" t="str" cm="1">
        <f t="array" ref="E503">IF(Table15[[#This Row],[Scott Correction]]="",Table15[[#This Row],[customer_id]],_xlfn.XLOOKUP(Table15[[#This Row],[Scott Correction]],[1]!Table2[[#All],[name]],[1]!Table2[[#All],[id]],"",0,1))</f>
        <v/>
      </c>
      <c r="F503" s="11" t="s">
        <v>5095</v>
      </c>
      <c r="G503" s="11" t="s">
        <v>5096</v>
      </c>
      <c r="H503" s="11"/>
      <c r="I503" s="11" t="s">
        <v>5097</v>
      </c>
      <c r="J503" s="11" t="s">
        <v>5098</v>
      </c>
      <c r="K503" s="11" t="s">
        <v>5099</v>
      </c>
      <c r="L503" s="13"/>
    </row>
    <row r="504" spans="1:12" ht="18" customHeight="1" x14ac:dyDescent="0.25">
      <c r="A504" s="12"/>
      <c r="B504" s="11" t="s">
        <v>3190</v>
      </c>
      <c r="C504" s="11" t="str">
        <f>IFERROR(VLOOKUP(B504,[1]customers!$A:$B,2,0),"")</f>
        <v/>
      </c>
      <c r="D504" s="11" t="s">
        <v>3191</v>
      </c>
      <c r="E504" s="11" t="str" cm="1">
        <f t="array" ref="E504">IF(Table15[[#This Row],[Scott Correction]]="",Table15[[#This Row],[customer_id]],_xlfn.XLOOKUP(Table15[[#This Row],[Scott Correction]],[1]!Table2[[#All],[name]],[1]!Table2[[#All],[id]],"",0,1))</f>
        <v/>
      </c>
      <c r="F504" s="11" t="s">
        <v>5095</v>
      </c>
      <c r="G504" s="11" t="s">
        <v>2262</v>
      </c>
      <c r="H504" s="11"/>
      <c r="I504" s="11" t="s">
        <v>2263</v>
      </c>
      <c r="J504" s="11" t="s">
        <v>5100</v>
      </c>
      <c r="K504" s="11" t="s">
        <v>5101</v>
      </c>
      <c r="L504" s="13"/>
    </row>
    <row r="505" spans="1:12" ht="18" customHeight="1" x14ac:dyDescent="0.25">
      <c r="A505" s="12"/>
      <c r="B505" s="11" t="s">
        <v>3190</v>
      </c>
      <c r="C505" s="11" t="str">
        <f>IFERROR(VLOOKUP(B505,[1]customers!$A:$B,2,0),"")</f>
        <v/>
      </c>
      <c r="D505" s="11" t="s">
        <v>3191</v>
      </c>
      <c r="E505" s="11" t="str" cm="1">
        <f t="array" ref="E505">IF(Table15[[#This Row],[Scott Correction]]="",Table15[[#This Row],[customer_id]],_xlfn.XLOOKUP(Table15[[#This Row],[Scott Correction]],[1]!Table2[[#All],[name]],[1]!Table2[[#All],[id]],"",0,1))</f>
        <v/>
      </c>
      <c r="F505" s="11" t="s">
        <v>5095</v>
      </c>
      <c r="G505" s="11" t="s">
        <v>5102</v>
      </c>
      <c r="H505" s="11"/>
      <c r="I505" s="11" t="s">
        <v>5103</v>
      </c>
      <c r="J505" s="11" t="s">
        <v>5104</v>
      </c>
      <c r="K505" s="11" t="s">
        <v>5105</v>
      </c>
      <c r="L505" s="13"/>
    </row>
    <row r="506" spans="1:12" ht="18" customHeight="1" x14ac:dyDescent="0.25">
      <c r="A506" s="12"/>
      <c r="B506" s="11" t="s">
        <v>3190</v>
      </c>
      <c r="C506" s="11" t="str">
        <f>IFERROR(VLOOKUP(B506,[1]customers!$A:$B,2,0),"")</f>
        <v/>
      </c>
      <c r="D506" s="11" t="s">
        <v>3191</v>
      </c>
      <c r="E506" s="11" t="str" cm="1">
        <f t="array" ref="E506">IF(Table15[[#This Row],[Scott Correction]]="",Table15[[#This Row],[customer_id]],_xlfn.XLOOKUP(Table15[[#This Row],[Scott Correction]],[1]!Table2[[#All],[name]],[1]!Table2[[#All],[id]],"",0,1))</f>
        <v/>
      </c>
      <c r="F506" s="11" t="s">
        <v>5095</v>
      </c>
      <c r="G506" s="11" t="s">
        <v>5106</v>
      </c>
      <c r="H506" s="11"/>
      <c r="I506" s="11" t="s">
        <v>5107</v>
      </c>
      <c r="J506" s="11"/>
      <c r="K506" s="11" t="s">
        <v>5108</v>
      </c>
      <c r="L506" s="13"/>
    </row>
    <row r="507" spans="1:12" ht="18" customHeight="1" x14ac:dyDescent="0.25">
      <c r="A507" s="12"/>
      <c r="B507" s="11" t="s">
        <v>3190</v>
      </c>
      <c r="C507" s="11" t="str">
        <f>IFERROR(VLOOKUP(B507,[1]customers!$A:$B,2,0),"")</f>
        <v/>
      </c>
      <c r="D507" s="11" t="s">
        <v>3191</v>
      </c>
      <c r="E507" s="11" t="str" cm="1">
        <f t="array" ref="E507">IF(Table15[[#This Row],[Scott Correction]]="",Table15[[#This Row],[customer_id]],_xlfn.XLOOKUP(Table15[[#This Row],[Scott Correction]],[1]!Table2[[#All],[name]],[1]!Table2[[#All],[id]],"",0,1))</f>
        <v/>
      </c>
      <c r="F507" s="11" t="s">
        <v>5109</v>
      </c>
      <c r="G507" s="11" t="s">
        <v>5110</v>
      </c>
      <c r="H507" s="11"/>
      <c r="I507" s="11" t="s">
        <v>5111</v>
      </c>
      <c r="J507" s="11" t="s">
        <v>5112</v>
      </c>
      <c r="K507" s="11" t="s">
        <v>5113</v>
      </c>
      <c r="L507" s="13"/>
    </row>
    <row r="508" spans="1:12" ht="18" customHeight="1" x14ac:dyDescent="0.25">
      <c r="A508" s="12"/>
      <c r="B508" s="11" t="s">
        <v>3190</v>
      </c>
      <c r="C508" s="11" t="str">
        <f>IFERROR(VLOOKUP(B508,[1]customers!$A:$B,2,0),"")</f>
        <v/>
      </c>
      <c r="D508" s="11" t="s">
        <v>3191</v>
      </c>
      <c r="E508" s="11" t="str" cm="1">
        <f t="array" ref="E508">IF(Table15[[#This Row],[Scott Correction]]="",Table15[[#This Row],[customer_id]],_xlfn.XLOOKUP(Table15[[#This Row],[Scott Correction]],[1]!Table2[[#All],[name]],[1]!Table2[[#All],[id]],"",0,1))</f>
        <v/>
      </c>
      <c r="F508" s="11" t="s">
        <v>5114</v>
      </c>
      <c r="G508" s="11" t="s">
        <v>5115</v>
      </c>
      <c r="H508" s="11"/>
      <c r="I508" s="11" t="s">
        <v>5116</v>
      </c>
      <c r="J508" s="11"/>
      <c r="K508" s="11" t="s">
        <v>5117</v>
      </c>
      <c r="L508" s="13"/>
    </row>
    <row r="509" spans="1:12" ht="18" customHeight="1" x14ac:dyDescent="0.25">
      <c r="A509" s="12"/>
      <c r="B509" s="11" t="s">
        <v>3190</v>
      </c>
      <c r="C509" s="11" t="str">
        <f>IFERROR(VLOOKUP(B509,[1]customers!$A:$B,2,0),"")</f>
        <v/>
      </c>
      <c r="D509" s="11" t="s">
        <v>3191</v>
      </c>
      <c r="E509" s="11" t="str" cm="1">
        <f t="array" ref="E509">IF(Table15[[#This Row],[Scott Correction]]="",Table15[[#This Row],[customer_id]],_xlfn.XLOOKUP(Table15[[#This Row],[Scott Correction]],[1]!Table2[[#All],[name]],[1]!Table2[[#All],[id]],"",0,1))</f>
        <v/>
      </c>
      <c r="F509" s="11" t="s">
        <v>5118</v>
      </c>
      <c r="G509" s="11" t="s">
        <v>5119</v>
      </c>
      <c r="H509" s="11"/>
      <c r="I509" s="11" t="s">
        <v>5120</v>
      </c>
      <c r="J509" s="11" t="s">
        <v>5121</v>
      </c>
      <c r="K509" s="11" t="s">
        <v>5122</v>
      </c>
      <c r="L509" s="13"/>
    </row>
    <row r="510" spans="1:12" ht="18" customHeight="1" x14ac:dyDescent="0.25">
      <c r="A510" s="12"/>
      <c r="B510" s="11" t="s">
        <v>3190</v>
      </c>
      <c r="C510" s="11" t="str">
        <f>IFERROR(VLOOKUP(B510,[1]customers!$A:$B,2,0),"")</f>
        <v/>
      </c>
      <c r="D510" s="11" t="s">
        <v>3191</v>
      </c>
      <c r="E510" s="11" t="str" cm="1">
        <f t="array" ref="E510">IF(Table15[[#This Row],[Scott Correction]]="",Table15[[#This Row],[customer_id]],_xlfn.XLOOKUP(Table15[[#This Row],[Scott Correction]],[1]!Table2[[#All],[name]],[1]!Table2[[#All],[id]],"",0,1))</f>
        <v/>
      </c>
      <c r="F510" s="11" t="s">
        <v>5123</v>
      </c>
      <c r="G510" s="11" t="s">
        <v>5124</v>
      </c>
      <c r="H510" s="11"/>
      <c r="I510" s="11" t="s">
        <v>5125</v>
      </c>
      <c r="J510" s="11" t="s">
        <v>5126</v>
      </c>
      <c r="K510" s="11"/>
      <c r="L510" s="13"/>
    </row>
    <row r="511" spans="1:12" ht="18" customHeight="1" x14ac:dyDescent="0.25">
      <c r="A511" s="12"/>
      <c r="B511" s="11" t="s">
        <v>3190</v>
      </c>
      <c r="C511" s="11" t="str">
        <f>IFERROR(VLOOKUP(B511,[1]customers!$A:$B,2,0),"")</f>
        <v/>
      </c>
      <c r="D511" s="11" t="s">
        <v>3191</v>
      </c>
      <c r="E511" s="11" t="str" cm="1">
        <f t="array" ref="E511">IF(Table15[[#This Row],[Scott Correction]]="",Table15[[#This Row],[customer_id]],_xlfn.XLOOKUP(Table15[[#This Row],[Scott Correction]],[1]!Table2[[#All],[name]],[1]!Table2[[#All],[id]],"",0,1))</f>
        <v/>
      </c>
      <c r="F511" s="11" t="s">
        <v>5127</v>
      </c>
      <c r="G511" s="11" t="s">
        <v>5128</v>
      </c>
      <c r="H511" s="11"/>
      <c r="I511" s="11" t="s">
        <v>5129</v>
      </c>
      <c r="J511" s="11" t="s">
        <v>5130</v>
      </c>
      <c r="K511" s="11" t="s">
        <v>5131</v>
      </c>
      <c r="L511" s="13"/>
    </row>
    <row r="512" spans="1:12" ht="18" customHeight="1" x14ac:dyDescent="0.25">
      <c r="A512" s="8"/>
      <c r="B512" s="9">
        <v>450</v>
      </c>
      <c r="C512" s="6" t="str">
        <f>IFERROR(VLOOKUP(B512,[1]customers!$A:$B,2,0),"")</f>
        <v>National Management Systems</v>
      </c>
      <c r="D512" s="6" t="s">
        <v>3191</v>
      </c>
      <c r="E512" s="6" t="str" cm="1">
        <f t="array" ref="E512">IF(Table15[[#This Row],[Scott Correction]]="",Table15[[#This Row],[customer_id]],_xlfn.XLOOKUP(Table15[[#This Row],[Scott Correction]],[1]!Table2[[#All],[name]],[1]!Table2[[#All],[id]],"",0,1))</f>
        <v/>
      </c>
      <c r="F512" s="9" t="s">
        <v>5132</v>
      </c>
      <c r="G512" s="9" t="s">
        <v>5133</v>
      </c>
      <c r="H512" s="9"/>
      <c r="I512" s="9" t="s">
        <v>5134</v>
      </c>
      <c r="J512" s="9" t="s">
        <v>5135</v>
      </c>
      <c r="K512" s="9" t="s">
        <v>5136</v>
      </c>
      <c r="L512" s="10"/>
    </row>
    <row r="513" spans="1:12" ht="18" customHeight="1" x14ac:dyDescent="0.25">
      <c r="A513" s="12"/>
      <c r="B513" s="11" t="s">
        <v>3190</v>
      </c>
      <c r="C513" s="11" t="str">
        <f>IFERROR(VLOOKUP(B513,[1]customers!$A:$B,2,0),"")</f>
        <v/>
      </c>
      <c r="D513" s="11" t="s">
        <v>3191</v>
      </c>
      <c r="E513" s="11" t="str" cm="1">
        <f t="array" ref="E513">IF(Table15[[#This Row],[Scott Correction]]="",Table15[[#This Row],[customer_id]],_xlfn.XLOOKUP(Table15[[#This Row],[Scott Correction]],[1]!Table2[[#All],[name]],[1]!Table2[[#All],[id]],"",0,1))</f>
        <v/>
      </c>
      <c r="F513" s="11" t="s">
        <v>5137</v>
      </c>
      <c r="G513" s="11" t="s">
        <v>5138</v>
      </c>
      <c r="H513" s="11"/>
      <c r="I513" s="11" t="s">
        <v>5139</v>
      </c>
      <c r="J513" s="11" t="s">
        <v>5140</v>
      </c>
      <c r="K513" s="11"/>
      <c r="L513" s="13"/>
    </row>
    <row r="514" spans="1:12" ht="18" customHeight="1" x14ac:dyDescent="0.25">
      <c r="A514" s="12"/>
      <c r="B514" s="11" t="s">
        <v>3190</v>
      </c>
      <c r="C514" s="11" t="str">
        <f>IFERROR(VLOOKUP(B514,[1]customers!$A:$B,2,0),"")</f>
        <v/>
      </c>
      <c r="D514" s="11" t="s">
        <v>3191</v>
      </c>
      <c r="E514" s="11" t="str" cm="1">
        <f t="array" ref="E514">IF(Table15[[#This Row],[Scott Correction]]="",Table15[[#This Row],[customer_id]],_xlfn.XLOOKUP(Table15[[#This Row],[Scott Correction]],[1]!Table2[[#All],[name]],[1]!Table2[[#All],[id]],"",0,1))</f>
        <v/>
      </c>
      <c r="F514" s="11" t="s">
        <v>5141</v>
      </c>
      <c r="G514" s="11" t="s">
        <v>5142</v>
      </c>
      <c r="H514" s="11"/>
      <c r="I514" s="11" t="s">
        <v>5143</v>
      </c>
      <c r="J514" s="11" t="s">
        <v>5144</v>
      </c>
      <c r="K514" s="11" t="s">
        <v>5145</v>
      </c>
      <c r="L514" s="13"/>
    </row>
    <row r="515" spans="1:12" ht="18" customHeight="1" x14ac:dyDescent="0.25">
      <c r="A515" s="12"/>
      <c r="B515" s="11" t="s">
        <v>3190</v>
      </c>
      <c r="C515" s="11" t="str">
        <f>IFERROR(VLOOKUP(B515,[1]customers!$A:$B,2,0),"")</f>
        <v/>
      </c>
      <c r="D515" s="11" t="s">
        <v>3191</v>
      </c>
      <c r="E515" s="11" t="str" cm="1">
        <f t="array" ref="E515">IF(Table15[[#This Row],[Scott Correction]]="",Table15[[#This Row],[customer_id]],_xlfn.XLOOKUP(Table15[[#This Row],[Scott Correction]],[1]!Table2[[#All],[name]],[1]!Table2[[#All],[id]],"",0,1))</f>
        <v/>
      </c>
      <c r="F515" s="11" t="s">
        <v>5146</v>
      </c>
      <c r="G515" s="11" t="s">
        <v>5147</v>
      </c>
      <c r="H515" s="11"/>
      <c r="I515" s="11"/>
      <c r="J515" s="11" t="s">
        <v>5148</v>
      </c>
      <c r="K515" s="11"/>
      <c r="L515" s="13"/>
    </row>
    <row r="516" spans="1:12" ht="18" customHeight="1" x14ac:dyDescent="0.25">
      <c r="A516" s="12"/>
      <c r="B516" s="11" t="s">
        <v>3190</v>
      </c>
      <c r="C516" s="11" t="str">
        <f>IFERROR(VLOOKUP(B516,[1]customers!$A:$B,2,0),"")</f>
        <v/>
      </c>
      <c r="D516" s="11" t="s">
        <v>3191</v>
      </c>
      <c r="E516" s="11" t="str" cm="1">
        <f t="array" ref="E516">IF(Table15[[#This Row],[Scott Correction]]="",Table15[[#This Row],[customer_id]],_xlfn.XLOOKUP(Table15[[#This Row],[Scott Correction]],[1]!Table2[[#All],[name]],[1]!Table2[[#All],[id]],"",0,1))</f>
        <v/>
      </c>
      <c r="F516" s="11" t="s">
        <v>5149</v>
      </c>
      <c r="G516" s="11" t="s">
        <v>5150</v>
      </c>
      <c r="H516" s="11"/>
      <c r="I516" s="11" t="s">
        <v>5151</v>
      </c>
      <c r="J516" s="11" t="s">
        <v>5152</v>
      </c>
      <c r="K516" s="11" t="s">
        <v>5153</v>
      </c>
      <c r="L516" s="13"/>
    </row>
    <row r="517" spans="1:12" ht="18" customHeight="1" x14ac:dyDescent="0.25">
      <c r="A517" s="12"/>
      <c r="B517" s="11" t="s">
        <v>3190</v>
      </c>
      <c r="C517" s="11" t="str">
        <f>IFERROR(VLOOKUP(B517,[1]customers!$A:$B,2,0),"")</f>
        <v/>
      </c>
      <c r="D517" s="11" t="s">
        <v>3191</v>
      </c>
      <c r="E517" s="11" t="str" cm="1">
        <f t="array" ref="E517">IF(Table15[[#This Row],[Scott Correction]]="",Table15[[#This Row],[customer_id]],_xlfn.XLOOKUP(Table15[[#This Row],[Scott Correction]],[1]!Table2[[#All],[name]],[1]!Table2[[#All],[id]],"",0,1))</f>
        <v/>
      </c>
      <c r="F517" s="11" t="s">
        <v>5154</v>
      </c>
      <c r="G517" s="11" t="s">
        <v>5155</v>
      </c>
      <c r="H517" s="11"/>
      <c r="I517" s="11" t="s">
        <v>5156</v>
      </c>
      <c r="J517" s="11"/>
      <c r="K517" s="11">
        <v>3305281167</v>
      </c>
      <c r="L517" s="13"/>
    </row>
    <row r="518" spans="1:12" ht="18" customHeight="1" x14ac:dyDescent="0.25">
      <c r="A518" s="12"/>
      <c r="B518" s="11" t="s">
        <v>3190</v>
      </c>
      <c r="C518" s="11" t="str">
        <f>IFERROR(VLOOKUP(B518,[1]customers!$A:$B,2,0),"")</f>
        <v/>
      </c>
      <c r="D518" s="11" t="s">
        <v>3191</v>
      </c>
      <c r="E518" s="11" t="str" cm="1">
        <f t="array" ref="E518">IF(Table15[[#This Row],[Scott Correction]]="",Table15[[#This Row],[customer_id]],_xlfn.XLOOKUP(Table15[[#This Row],[Scott Correction]],[1]!Table2[[#All],[name]],[1]!Table2[[#All],[id]],"",0,1))</f>
        <v/>
      </c>
      <c r="F518" s="11" t="s">
        <v>5157</v>
      </c>
      <c r="G518" s="11" t="s">
        <v>5158</v>
      </c>
      <c r="H518" s="11"/>
      <c r="I518" s="11"/>
      <c r="J518" s="11" t="s">
        <v>5159</v>
      </c>
      <c r="K518" s="11" t="s">
        <v>5160</v>
      </c>
      <c r="L518" s="13"/>
    </row>
    <row r="519" spans="1:12" ht="18" customHeight="1" x14ac:dyDescent="0.25">
      <c r="A519" s="12"/>
      <c r="B519" s="11" t="s">
        <v>3190</v>
      </c>
      <c r="C519" s="11" t="str">
        <f>IFERROR(VLOOKUP(B519,[1]customers!$A:$B,2,0),"")</f>
        <v/>
      </c>
      <c r="D519" s="11" t="s">
        <v>3191</v>
      </c>
      <c r="E519" s="11" t="str" cm="1">
        <f t="array" ref="E519">IF(Table15[[#This Row],[Scott Correction]]="",Table15[[#This Row],[customer_id]],_xlfn.XLOOKUP(Table15[[#This Row],[Scott Correction]],[1]!Table2[[#All],[name]],[1]!Table2[[#All],[id]],"",0,1))</f>
        <v/>
      </c>
      <c r="F519" s="11" t="s">
        <v>5157</v>
      </c>
      <c r="G519" s="11" t="s">
        <v>5161</v>
      </c>
      <c r="H519" s="11"/>
      <c r="I519" s="11" t="s">
        <v>5162</v>
      </c>
      <c r="J519" s="11" t="s">
        <v>5163</v>
      </c>
      <c r="K519" s="11" t="s">
        <v>5160</v>
      </c>
      <c r="L519" s="13"/>
    </row>
    <row r="520" spans="1:12" ht="18" customHeight="1" x14ac:dyDescent="0.25">
      <c r="A520" s="12"/>
      <c r="B520" s="11" t="s">
        <v>3190</v>
      </c>
      <c r="C520" s="11" t="str">
        <f>IFERROR(VLOOKUP(B520,[1]customers!$A:$B,2,0),"")</f>
        <v/>
      </c>
      <c r="D520" s="11" t="s">
        <v>3191</v>
      </c>
      <c r="E520" s="11" t="str" cm="1">
        <f t="array" ref="E520">IF(Table15[[#This Row],[Scott Correction]]="",Table15[[#This Row],[customer_id]],_xlfn.XLOOKUP(Table15[[#This Row],[Scott Correction]],[1]!Table2[[#All],[name]],[1]!Table2[[#All],[id]],"",0,1))</f>
        <v/>
      </c>
      <c r="F520" s="11" t="s">
        <v>5157</v>
      </c>
      <c r="G520" s="11" t="s">
        <v>5164</v>
      </c>
      <c r="H520" s="11"/>
      <c r="I520" s="11" t="s">
        <v>5165</v>
      </c>
      <c r="J520" s="11" t="s">
        <v>5166</v>
      </c>
      <c r="K520" s="11" t="s">
        <v>5160</v>
      </c>
      <c r="L520" s="13"/>
    </row>
    <row r="521" spans="1:12" ht="18" customHeight="1" x14ac:dyDescent="0.25">
      <c r="A521" s="12"/>
      <c r="B521" s="11" t="s">
        <v>3190</v>
      </c>
      <c r="C521" s="11" t="str">
        <f>IFERROR(VLOOKUP(B521,[1]customers!$A:$B,2,0),"")</f>
        <v/>
      </c>
      <c r="D521" s="11" t="s">
        <v>3191</v>
      </c>
      <c r="E521" s="11" t="str" cm="1">
        <f t="array" ref="E521">IF(Table15[[#This Row],[Scott Correction]]="",Table15[[#This Row],[customer_id]],_xlfn.XLOOKUP(Table15[[#This Row],[Scott Correction]],[1]!Table2[[#All],[name]],[1]!Table2[[#All],[id]],"",0,1))</f>
        <v/>
      </c>
      <c r="F521" s="11" t="s">
        <v>5167</v>
      </c>
      <c r="G521" s="11" t="s">
        <v>5168</v>
      </c>
      <c r="H521" s="11"/>
      <c r="I521" s="11" t="s">
        <v>5169</v>
      </c>
      <c r="J521" s="11" t="s">
        <v>5170</v>
      </c>
      <c r="K521" s="11" t="s">
        <v>5171</v>
      </c>
      <c r="L521" s="13"/>
    </row>
    <row r="522" spans="1:12" ht="18" customHeight="1" x14ac:dyDescent="0.25">
      <c r="A522" s="12"/>
      <c r="B522" s="11" t="s">
        <v>3190</v>
      </c>
      <c r="C522" s="11" t="str">
        <f>IFERROR(VLOOKUP(B522,[1]customers!$A:$B,2,0),"")</f>
        <v/>
      </c>
      <c r="D522" s="11" t="s">
        <v>3191</v>
      </c>
      <c r="E522" s="11" t="str" cm="1">
        <f t="array" ref="E522">IF(Table15[[#This Row],[Scott Correction]]="",Table15[[#This Row],[customer_id]],_xlfn.XLOOKUP(Table15[[#This Row],[Scott Correction]],[1]!Table2[[#All],[name]],[1]!Table2[[#All],[id]],"",0,1))</f>
        <v/>
      </c>
      <c r="F522" s="11" t="s">
        <v>5172</v>
      </c>
      <c r="G522" s="11" t="s">
        <v>5173</v>
      </c>
      <c r="H522" s="11"/>
      <c r="I522" s="11" t="s">
        <v>5174</v>
      </c>
      <c r="J522" s="11"/>
      <c r="K522" s="11"/>
      <c r="L522" s="13"/>
    </row>
    <row r="523" spans="1:12" ht="18" customHeight="1" x14ac:dyDescent="0.25">
      <c r="A523" s="12"/>
      <c r="B523" s="11" t="s">
        <v>3190</v>
      </c>
      <c r="C523" s="11" t="str">
        <f>IFERROR(VLOOKUP(B523,[1]customers!$A:$B,2,0),"")</f>
        <v/>
      </c>
      <c r="D523" s="11" t="s">
        <v>3191</v>
      </c>
      <c r="E523" s="11" t="str" cm="1">
        <f t="array" ref="E523">IF(Table15[[#This Row],[Scott Correction]]="",Table15[[#This Row],[customer_id]],_xlfn.XLOOKUP(Table15[[#This Row],[Scott Correction]],[1]!Table2[[#All],[name]],[1]!Table2[[#All],[id]],"",0,1))</f>
        <v/>
      </c>
      <c r="F523" s="11" t="s">
        <v>5175</v>
      </c>
      <c r="G523" s="11" t="s">
        <v>5176</v>
      </c>
      <c r="H523" s="11"/>
      <c r="I523" s="11"/>
      <c r="J523" s="11"/>
      <c r="K523" s="11" t="s">
        <v>5177</v>
      </c>
      <c r="L523" s="13"/>
    </row>
    <row r="524" spans="1:12" ht="18" customHeight="1" x14ac:dyDescent="0.25">
      <c r="A524" s="12"/>
      <c r="B524" s="11" t="s">
        <v>3190</v>
      </c>
      <c r="C524" s="11" t="str">
        <f>IFERROR(VLOOKUP(B524,[1]customers!$A:$B,2,0),"")</f>
        <v/>
      </c>
      <c r="D524" s="11" t="s">
        <v>3191</v>
      </c>
      <c r="E524" s="11" t="str" cm="1">
        <f t="array" ref="E524">IF(Table15[[#This Row],[Scott Correction]]="",Table15[[#This Row],[customer_id]],_xlfn.XLOOKUP(Table15[[#This Row],[Scott Correction]],[1]!Table2[[#All],[name]],[1]!Table2[[#All],[id]],"",0,1))</f>
        <v/>
      </c>
      <c r="F524" s="11" t="s">
        <v>5178</v>
      </c>
      <c r="G524" s="11" t="s">
        <v>5179</v>
      </c>
      <c r="H524" s="11"/>
      <c r="I524" s="11" t="s">
        <v>5180</v>
      </c>
      <c r="J524" s="11"/>
      <c r="K524" s="11" t="s">
        <v>5181</v>
      </c>
      <c r="L524" s="13"/>
    </row>
    <row r="525" spans="1:12" ht="18" customHeight="1" x14ac:dyDescent="0.25">
      <c r="A525" s="12"/>
      <c r="B525" s="11" t="s">
        <v>3190</v>
      </c>
      <c r="C525" s="11" t="str">
        <f>IFERROR(VLOOKUP(B525,[1]customers!$A:$B,2,0),"")</f>
        <v/>
      </c>
      <c r="D525" s="11" t="s">
        <v>3191</v>
      </c>
      <c r="E525" s="11" t="str" cm="1">
        <f t="array" ref="E525">IF(Table15[[#This Row],[Scott Correction]]="",Table15[[#This Row],[customer_id]],_xlfn.XLOOKUP(Table15[[#This Row],[Scott Correction]],[1]!Table2[[#All],[name]],[1]!Table2[[#All],[id]],"",0,1))</f>
        <v/>
      </c>
      <c r="F525" s="11" t="s">
        <v>5182</v>
      </c>
      <c r="G525" s="11" t="s">
        <v>5183</v>
      </c>
      <c r="H525" s="11"/>
      <c r="I525" s="11"/>
      <c r="J525" s="11" t="s">
        <v>5184</v>
      </c>
      <c r="K525" s="11" t="s">
        <v>5185</v>
      </c>
      <c r="L525" s="13"/>
    </row>
    <row r="526" spans="1:12" ht="18" customHeight="1" x14ac:dyDescent="0.25">
      <c r="A526" s="12"/>
      <c r="B526" s="11" t="s">
        <v>3190</v>
      </c>
      <c r="C526" s="11" t="str">
        <f>IFERROR(VLOOKUP(B526,[1]customers!$A:$B,2,0),"")</f>
        <v/>
      </c>
      <c r="D526" s="11" t="s">
        <v>3191</v>
      </c>
      <c r="E526" s="11" t="str" cm="1">
        <f t="array" ref="E526">IF(Table15[[#This Row],[Scott Correction]]="",Table15[[#This Row],[customer_id]],_xlfn.XLOOKUP(Table15[[#This Row],[Scott Correction]],[1]!Table2[[#All],[name]],[1]!Table2[[#All],[id]],"",0,1))</f>
        <v/>
      </c>
      <c r="F526" s="11" t="s">
        <v>5186</v>
      </c>
      <c r="G526" s="11" t="s">
        <v>5187</v>
      </c>
      <c r="H526" s="11"/>
      <c r="I526" s="11" t="s">
        <v>5188</v>
      </c>
      <c r="J526" s="11">
        <v>8002778245</v>
      </c>
      <c r="K526" s="11" t="s">
        <v>5189</v>
      </c>
      <c r="L526" s="13"/>
    </row>
    <row r="527" spans="1:12" ht="18" customHeight="1" x14ac:dyDescent="0.25">
      <c r="A527" s="12"/>
      <c r="B527" s="11" t="s">
        <v>3190</v>
      </c>
      <c r="C527" s="11" t="str">
        <f>IFERROR(VLOOKUP(B527,[1]customers!$A:$B,2,0),"")</f>
        <v/>
      </c>
      <c r="D527" s="11" t="s">
        <v>3191</v>
      </c>
      <c r="E527" s="11" t="str" cm="1">
        <f t="array" ref="E527">IF(Table15[[#This Row],[Scott Correction]]="",Table15[[#This Row],[customer_id]],_xlfn.XLOOKUP(Table15[[#This Row],[Scott Correction]],[1]!Table2[[#All],[name]],[1]!Table2[[#All],[id]],"",0,1))</f>
        <v/>
      </c>
      <c r="F527" s="11" t="s">
        <v>5190</v>
      </c>
      <c r="G527" s="11" t="s">
        <v>5191</v>
      </c>
      <c r="H527" s="11"/>
      <c r="I527" s="11" t="s">
        <v>5192</v>
      </c>
      <c r="J527" s="11" t="s">
        <v>5193</v>
      </c>
      <c r="K527" s="11" t="s">
        <v>5194</v>
      </c>
      <c r="L527" s="13"/>
    </row>
    <row r="528" spans="1:12" ht="18" customHeight="1" x14ac:dyDescent="0.25">
      <c r="A528" s="12"/>
      <c r="B528" s="11" t="s">
        <v>3190</v>
      </c>
      <c r="C528" s="11" t="str">
        <f>IFERROR(VLOOKUP(B528,[1]customers!$A:$B,2,0),"")</f>
        <v/>
      </c>
      <c r="D528" s="11" t="s">
        <v>3191</v>
      </c>
      <c r="E528" s="11" t="str" cm="1">
        <f t="array" ref="E528">IF(Table15[[#This Row],[Scott Correction]]="",Table15[[#This Row],[customer_id]],_xlfn.XLOOKUP(Table15[[#This Row],[Scott Correction]],[1]!Table2[[#All],[name]],[1]!Table2[[#All],[id]],"",0,1))</f>
        <v/>
      </c>
      <c r="F528" s="11" t="s">
        <v>5195</v>
      </c>
      <c r="G528" s="11" t="s">
        <v>5196</v>
      </c>
      <c r="H528" s="11"/>
      <c r="I528" s="11" t="s">
        <v>5197</v>
      </c>
      <c r="J528" s="11"/>
      <c r="K528" s="11" t="s">
        <v>5198</v>
      </c>
      <c r="L528" s="13"/>
    </row>
    <row r="529" spans="1:12" ht="18" customHeight="1" x14ac:dyDescent="0.25">
      <c r="A529" s="8"/>
      <c r="B529" s="9">
        <v>348</v>
      </c>
      <c r="C529" s="6" t="str">
        <f>IFERROR(VLOOKUP(B529,[1]customers!$A:$B,2,0),"")</f>
        <v>JBR Industrial Services LLC</v>
      </c>
      <c r="D529" s="6" t="s">
        <v>3191</v>
      </c>
      <c r="E529" s="6" t="str" cm="1">
        <f t="array" ref="E529">IF(Table15[[#This Row],[Scott Correction]]="",Table15[[#This Row],[customer_id]],_xlfn.XLOOKUP(Table15[[#This Row],[Scott Correction]],[1]!Table2[[#All],[name]],[1]!Table2[[#All],[id]],"",0,1))</f>
        <v/>
      </c>
      <c r="F529" s="9" t="s">
        <v>5199</v>
      </c>
      <c r="G529" s="9" t="s">
        <v>5200</v>
      </c>
      <c r="H529" s="9"/>
      <c r="I529" s="9" t="s">
        <v>5201</v>
      </c>
      <c r="J529" s="9"/>
      <c r="K529" s="9" t="s">
        <v>5202</v>
      </c>
      <c r="L529" s="10"/>
    </row>
    <row r="530" spans="1:12" ht="18" customHeight="1" x14ac:dyDescent="0.25">
      <c r="A530" s="4"/>
      <c r="B530" s="5">
        <v>652</v>
      </c>
      <c r="C530" s="6" t="str">
        <f>IFERROR(VLOOKUP(B530,[1]customers!$A:$B,2,0),"")</f>
        <v>StoreTek Engineering</v>
      </c>
      <c r="D530" s="6" t="s">
        <v>3191</v>
      </c>
      <c r="E530" s="6" t="str" cm="1">
        <f t="array" ref="E530">IF(Table15[[#This Row],[Scott Correction]]="",Table15[[#This Row],[customer_id]],_xlfn.XLOOKUP(Table15[[#This Row],[Scott Correction]],[1]!Table2[[#All],[name]],[1]!Table2[[#All],[id]],"",0,1))</f>
        <v/>
      </c>
      <c r="F530" s="5" t="s">
        <v>5203</v>
      </c>
      <c r="G530" s="5" t="s">
        <v>5204</v>
      </c>
      <c r="H530" s="5"/>
      <c r="I530" s="5" t="s">
        <v>5205</v>
      </c>
      <c r="J530" s="5" t="s">
        <v>5206</v>
      </c>
      <c r="K530" s="5"/>
      <c r="L530" s="7"/>
    </row>
    <row r="531" spans="1:12" ht="18" customHeight="1" x14ac:dyDescent="0.25">
      <c r="A531" s="12"/>
      <c r="B531" s="11" t="s">
        <v>3190</v>
      </c>
      <c r="C531" s="11" t="str">
        <f>IFERROR(VLOOKUP(B531,[1]customers!$A:$B,2,0),"")</f>
        <v/>
      </c>
      <c r="D531" s="11" t="s">
        <v>3191</v>
      </c>
      <c r="E531" s="11" t="str" cm="1">
        <f t="array" ref="E531">IF(Table15[[#This Row],[Scott Correction]]="",Table15[[#This Row],[customer_id]],_xlfn.XLOOKUP(Table15[[#This Row],[Scott Correction]],[1]!Table2[[#All],[name]],[1]!Table2[[#All],[id]],"",0,1))</f>
        <v/>
      </c>
      <c r="F531" s="11" t="s">
        <v>5207</v>
      </c>
      <c r="G531" s="11" t="s">
        <v>5208</v>
      </c>
      <c r="H531" s="11"/>
      <c r="I531" s="11" t="s">
        <v>5209</v>
      </c>
      <c r="J531" s="11" t="s">
        <v>5210</v>
      </c>
      <c r="K531" s="11" t="s">
        <v>5211</v>
      </c>
      <c r="L531" s="13"/>
    </row>
    <row r="532" spans="1:12" ht="18" customHeight="1" x14ac:dyDescent="0.25">
      <c r="A532" s="12"/>
      <c r="B532" s="11" t="s">
        <v>3190</v>
      </c>
      <c r="C532" s="11" t="str">
        <f>IFERROR(VLOOKUP(B532,[1]customers!$A:$B,2,0),"")</f>
        <v/>
      </c>
      <c r="D532" s="11" t="s">
        <v>3191</v>
      </c>
      <c r="E532" s="11" t="str" cm="1">
        <f t="array" ref="E532">IF(Table15[[#This Row],[Scott Correction]]="",Table15[[#This Row],[customer_id]],_xlfn.XLOOKUP(Table15[[#This Row],[Scott Correction]],[1]!Table2[[#All],[name]],[1]!Table2[[#All],[id]],"",0,1))</f>
        <v/>
      </c>
      <c r="F532" s="11" t="s">
        <v>5212</v>
      </c>
      <c r="G532" s="11" t="s">
        <v>5213</v>
      </c>
      <c r="H532" s="11"/>
      <c r="I532" s="11" t="s">
        <v>5214</v>
      </c>
      <c r="J532" s="11"/>
      <c r="K532" s="11">
        <v>6145270257</v>
      </c>
      <c r="L532" s="13"/>
    </row>
    <row r="533" spans="1:12" ht="18" customHeight="1" x14ac:dyDescent="0.25">
      <c r="A533" s="12"/>
      <c r="B533" s="11" t="s">
        <v>3190</v>
      </c>
      <c r="C533" s="11" t="str">
        <f>IFERROR(VLOOKUP(B533,[1]customers!$A:$B,2,0),"")</f>
        <v/>
      </c>
      <c r="D533" s="11" t="s">
        <v>3191</v>
      </c>
      <c r="E533" s="11" t="str" cm="1">
        <f t="array" ref="E533">IF(Table15[[#This Row],[Scott Correction]]="",Table15[[#This Row],[customer_id]],_xlfn.XLOOKUP(Table15[[#This Row],[Scott Correction]],[1]!Table2[[#All],[name]],[1]!Table2[[#All],[id]],"",0,1))</f>
        <v/>
      </c>
      <c r="F533" s="11" t="s">
        <v>5215</v>
      </c>
      <c r="G533" s="11" t="s">
        <v>5216</v>
      </c>
      <c r="H533" s="11"/>
      <c r="I533" s="11" t="s">
        <v>5217</v>
      </c>
      <c r="J533" s="11"/>
      <c r="K533" s="11" t="s">
        <v>5218</v>
      </c>
      <c r="L533" s="13"/>
    </row>
    <row r="534" spans="1:12" ht="18" customHeight="1" x14ac:dyDescent="0.25">
      <c r="A534" s="12"/>
      <c r="B534" s="11" t="s">
        <v>3190</v>
      </c>
      <c r="C534" s="11" t="str">
        <f>IFERROR(VLOOKUP(B534,[1]customers!$A:$B,2,0),"")</f>
        <v/>
      </c>
      <c r="D534" s="11" t="s">
        <v>3191</v>
      </c>
      <c r="E534" s="11" t="str" cm="1">
        <f t="array" ref="E534">IF(Table15[[#This Row],[Scott Correction]]="",Table15[[#This Row],[customer_id]],_xlfn.XLOOKUP(Table15[[#This Row],[Scott Correction]],[1]!Table2[[#All],[name]],[1]!Table2[[#All],[id]],"",0,1))</f>
        <v/>
      </c>
      <c r="F534" s="11" t="s">
        <v>5215</v>
      </c>
      <c r="G534" s="11" t="s">
        <v>5219</v>
      </c>
      <c r="H534" s="11"/>
      <c r="I534" s="11"/>
      <c r="J534" s="11"/>
      <c r="K534" s="11" t="s">
        <v>5218</v>
      </c>
      <c r="L534" s="13"/>
    </row>
    <row r="535" spans="1:12" ht="18" customHeight="1" x14ac:dyDescent="0.25">
      <c r="A535" s="12"/>
      <c r="B535" s="11" t="s">
        <v>3190</v>
      </c>
      <c r="C535" s="11" t="str">
        <f>IFERROR(VLOOKUP(B535,[1]customers!$A:$B,2,0),"")</f>
        <v/>
      </c>
      <c r="D535" s="11" t="s">
        <v>3191</v>
      </c>
      <c r="E535" s="11" t="str" cm="1">
        <f t="array" ref="E535">IF(Table15[[#This Row],[Scott Correction]]="",Table15[[#This Row],[customer_id]],_xlfn.XLOOKUP(Table15[[#This Row],[Scott Correction]],[1]!Table2[[#All],[name]],[1]!Table2[[#All],[id]],"",0,1))</f>
        <v/>
      </c>
      <c r="F535" s="11" t="s">
        <v>5220</v>
      </c>
      <c r="G535" s="11" t="s">
        <v>5221</v>
      </c>
      <c r="H535" s="11"/>
      <c r="I535" s="11" t="s">
        <v>5222</v>
      </c>
      <c r="J535" s="11"/>
      <c r="K535" s="11" t="s">
        <v>5223</v>
      </c>
      <c r="L535" s="13"/>
    </row>
    <row r="536" spans="1:12" ht="18" customHeight="1" x14ac:dyDescent="0.25">
      <c r="A536" s="12"/>
      <c r="B536" s="11" t="s">
        <v>3190</v>
      </c>
      <c r="C536" s="11" t="str">
        <f>IFERROR(VLOOKUP(B536,[1]customers!$A:$B,2,0),"")</f>
        <v/>
      </c>
      <c r="D536" s="11" t="s">
        <v>3191</v>
      </c>
      <c r="E536" s="11" t="str" cm="1">
        <f t="array" ref="E536">IF(Table15[[#This Row],[Scott Correction]]="",Table15[[#This Row],[customer_id]],_xlfn.XLOOKUP(Table15[[#This Row],[Scott Correction]],[1]!Table2[[#All],[name]],[1]!Table2[[#All],[id]],"",0,1))</f>
        <v/>
      </c>
      <c r="F536" s="11" t="s">
        <v>5224</v>
      </c>
      <c r="G536" s="11" t="s">
        <v>5225</v>
      </c>
      <c r="H536" s="11"/>
      <c r="I536" s="11" t="s">
        <v>5226</v>
      </c>
      <c r="J536" s="11"/>
      <c r="K536" s="11" t="s">
        <v>5227</v>
      </c>
      <c r="L536" s="13"/>
    </row>
    <row r="537" spans="1:12" ht="18" customHeight="1" x14ac:dyDescent="0.25">
      <c r="A537" s="12"/>
      <c r="B537" s="11" t="s">
        <v>3190</v>
      </c>
      <c r="C537" s="11" t="str">
        <f>IFERROR(VLOOKUP(B537,[1]customers!$A:$B,2,0),"")</f>
        <v/>
      </c>
      <c r="D537" s="11" t="s">
        <v>3191</v>
      </c>
      <c r="E537" s="11" t="str" cm="1">
        <f t="array" ref="E537">IF(Table15[[#This Row],[Scott Correction]]="",Table15[[#This Row],[customer_id]],_xlfn.XLOOKUP(Table15[[#This Row],[Scott Correction]],[1]!Table2[[#All],[name]],[1]!Table2[[#All],[id]],"",0,1))</f>
        <v/>
      </c>
      <c r="F537" s="11" t="s">
        <v>5228</v>
      </c>
      <c r="G537" s="11" t="s">
        <v>5229</v>
      </c>
      <c r="H537" s="11"/>
      <c r="I537" s="11" t="s">
        <v>5230</v>
      </c>
      <c r="J537" s="11"/>
      <c r="K537" s="11" t="s">
        <v>5231</v>
      </c>
      <c r="L537" s="13"/>
    </row>
    <row r="538" spans="1:12" ht="18" customHeight="1" x14ac:dyDescent="0.25">
      <c r="A538" s="12"/>
      <c r="B538" s="11" t="s">
        <v>3190</v>
      </c>
      <c r="C538" s="11" t="str">
        <f>IFERROR(VLOOKUP(B538,[1]customers!$A:$B,2,0),"")</f>
        <v/>
      </c>
      <c r="D538" s="11" t="s">
        <v>3191</v>
      </c>
      <c r="E538" s="11" t="str" cm="1">
        <f t="array" ref="E538">IF(Table15[[#This Row],[Scott Correction]]="",Table15[[#This Row],[customer_id]],_xlfn.XLOOKUP(Table15[[#This Row],[Scott Correction]],[1]!Table2[[#All],[name]],[1]!Table2[[#All],[id]],"",0,1))</f>
        <v/>
      </c>
      <c r="F538" s="11" t="s">
        <v>5232</v>
      </c>
      <c r="G538" s="11" t="s">
        <v>5233</v>
      </c>
      <c r="H538" s="11"/>
      <c r="I538" s="11" t="s">
        <v>5234</v>
      </c>
      <c r="J538" s="11" t="s">
        <v>5235</v>
      </c>
      <c r="K538" s="11" t="s">
        <v>5236</v>
      </c>
      <c r="L538" s="13"/>
    </row>
    <row r="539" spans="1:12" ht="18" customHeight="1" x14ac:dyDescent="0.25">
      <c r="A539" s="12"/>
      <c r="B539" s="11" t="s">
        <v>3190</v>
      </c>
      <c r="C539" s="11" t="str">
        <f>IFERROR(VLOOKUP(B539,[1]customers!$A:$B,2,0),"")</f>
        <v/>
      </c>
      <c r="D539" s="11" t="s">
        <v>3191</v>
      </c>
      <c r="E539" s="11" t="str" cm="1">
        <f t="array" ref="E539">IF(Table15[[#This Row],[Scott Correction]]="",Table15[[#This Row],[customer_id]],_xlfn.XLOOKUP(Table15[[#This Row],[Scott Correction]],[1]!Table2[[#All],[name]],[1]!Table2[[#All],[id]],"",0,1))</f>
        <v/>
      </c>
      <c r="F539" s="11" t="s">
        <v>5232</v>
      </c>
      <c r="G539" s="11" t="s">
        <v>5237</v>
      </c>
      <c r="H539" s="11"/>
      <c r="I539" s="11" t="s">
        <v>5238</v>
      </c>
      <c r="J539" s="11" t="s">
        <v>5239</v>
      </c>
      <c r="K539" s="11" t="s">
        <v>5240</v>
      </c>
      <c r="L539" s="13"/>
    </row>
    <row r="540" spans="1:12" ht="18" customHeight="1" x14ac:dyDescent="0.25">
      <c r="A540" s="12"/>
      <c r="B540" s="11" t="s">
        <v>3190</v>
      </c>
      <c r="C540" s="11" t="str">
        <f>IFERROR(VLOOKUP(B540,[1]customers!$A:$B,2,0),"")</f>
        <v/>
      </c>
      <c r="D540" s="11" t="s">
        <v>3191</v>
      </c>
      <c r="E540" s="11" t="str" cm="1">
        <f t="array" ref="E540">IF(Table15[[#This Row],[Scott Correction]]="",Table15[[#This Row],[customer_id]],_xlfn.XLOOKUP(Table15[[#This Row],[Scott Correction]],[1]!Table2[[#All],[name]],[1]!Table2[[#All],[id]],"",0,1))</f>
        <v/>
      </c>
      <c r="F540" s="11" t="s">
        <v>5241</v>
      </c>
      <c r="G540" s="11" t="s">
        <v>5242</v>
      </c>
      <c r="H540" s="11"/>
      <c r="I540" s="11" t="s">
        <v>5243</v>
      </c>
      <c r="J540" s="11" t="s">
        <v>5244</v>
      </c>
      <c r="K540" s="11" t="s">
        <v>5245</v>
      </c>
      <c r="L540" s="13"/>
    </row>
    <row r="541" spans="1:12" ht="18" customHeight="1" x14ac:dyDescent="0.25">
      <c r="A541" s="12"/>
      <c r="B541" s="11" t="s">
        <v>3190</v>
      </c>
      <c r="C541" s="11" t="str">
        <f>IFERROR(VLOOKUP(B541,[1]customers!$A:$B,2,0),"")</f>
        <v/>
      </c>
      <c r="D541" s="11" t="s">
        <v>3191</v>
      </c>
      <c r="E541" s="11" t="str" cm="1">
        <f t="array" ref="E541">IF(Table15[[#This Row],[Scott Correction]]="",Table15[[#This Row],[customer_id]],_xlfn.XLOOKUP(Table15[[#This Row],[Scott Correction]],[1]!Table2[[#All],[name]],[1]!Table2[[#All],[id]],"",0,1))</f>
        <v/>
      </c>
      <c r="F541" s="11" t="s">
        <v>5246</v>
      </c>
      <c r="G541" s="11" t="s">
        <v>5247</v>
      </c>
      <c r="H541" s="11"/>
      <c r="I541" s="11" t="s">
        <v>5248</v>
      </c>
      <c r="J541" s="11" t="s">
        <v>5249</v>
      </c>
      <c r="K541" s="11"/>
      <c r="L541" s="13"/>
    </row>
    <row r="542" spans="1:12" ht="18" customHeight="1" x14ac:dyDescent="0.25">
      <c r="A542" s="12"/>
      <c r="B542" s="11" t="s">
        <v>3190</v>
      </c>
      <c r="C542" s="11" t="str">
        <f>IFERROR(VLOOKUP(B542,[1]customers!$A:$B,2,0),"")</f>
        <v/>
      </c>
      <c r="D542" s="11" t="s">
        <v>3191</v>
      </c>
      <c r="E542" s="11" t="str" cm="1">
        <f t="array" ref="E542">IF(Table15[[#This Row],[Scott Correction]]="",Table15[[#This Row],[customer_id]],_xlfn.XLOOKUP(Table15[[#This Row],[Scott Correction]],[1]!Table2[[#All],[name]],[1]!Table2[[#All],[id]],"",0,1))</f>
        <v/>
      </c>
      <c r="F542" s="11" t="s">
        <v>5250</v>
      </c>
      <c r="G542" s="11" t="s">
        <v>5251</v>
      </c>
      <c r="H542" s="11"/>
      <c r="I542" s="11" t="s">
        <v>5252</v>
      </c>
      <c r="J542" s="11"/>
      <c r="K542" s="11" t="s">
        <v>5253</v>
      </c>
      <c r="L542" s="13"/>
    </row>
    <row r="543" spans="1:12" ht="18" customHeight="1" x14ac:dyDescent="0.25">
      <c r="A543" s="12"/>
      <c r="B543" s="11" t="s">
        <v>3190</v>
      </c>
      <c r="C543" s="11" t="str">
        <f>IFERROR(VLOOKUP(B543,[1]customers!$A:$B,2,0),"")</f>
        <v/>
      </c>
      <c r="D543" s="11" t="s">
        <v>3191</v>
      </c>
      <c r="E543" s="11" t="str" cm="1">
        <f t="array" ref="E543">IF(Table15[[#This Row],[Scott Correction]]="",Table15[[#This Row],[customer_id]],_xlfn.XLOOKUP(Table15[[#This Row],[Scott Correction]],[1]!Table2[[#All],[name]],[1]!Table2[[#All],[id]],"",0,1))</f>
        <v/>
      </c>
      <c r="F543" s="11" t="s">
        <v>5254</v>
      </c>
      <c r="G543" s="11" t="s">
        <v>5255</v>
      </c>
      <c r="H543" s="11"/>
      <c r="I543" s="11"/>
      <c r="J543" s="11"/>
      <c r="K543" s="11" t="s">
        <v>5256</v>
      </c>
      <c r="L543" s="13"/>
    </row>
    <row r="544" spans="1:12" ht="18" customHeight="1" x14ac:dyDescent="0.25">
      <c r="A544" s="12"/>
      <c r="B544" s="11" t="s">
        <v>3190</v>
      </c>
      <c r="C544" s="11" t="str">
        <f>IFERROR(VLOOKUP(B544,[1]customers!$A:$B,2,0),"")</f>
        <v/>
      </c>
      <c r="D544" s="11" t="s">
        <v>3191</v>
      </c>
      <c r="E544" s="11" t="str" cm="1">
        <f t="array" ref="E544">IF(Table15[[#This Row],[Scott Correction]]="",Table15[[#This Row],[customer_id]],_xlfn.XLOOKUP(Table15[[#This Row],[Scott Correction]],[1]!Table2[[#All],[name]],[1]!Table2[[#All],[id]],"",0,1))</f>
        <v/>
      </c>
      <c r="F544" s="11" t="s">
        <v>5257</v>
      </c>
      <c r="G544" s="11" t="s">
        <v>5258</v>
      </c>
      <c r="H544" s="11"/>
      <c r="I544" s="11" t="s">
        <v>5259</v>
      </c>
      <c r="J544" s="11"/>
      <c r="K544" s="11" t="s">
        <v>5260</v>
      </c>
      <c r="L544" s="13"/>
    </row>
    <row r="545" spans="1:12" ht="18" customHeight="1" x14ac:dyDescent="0.25">
      <c r="A545" s="12"/>
      <c r="B545" s="11" t="s">
        <v>3190</v>
      </c>
      <c r="C545" s="11" t="str">
        <f>IFERROR(VLOOKUP(B545,[1]customers!$A:$B,2,0),"")</f>
        <v/>
      </c>
      <c r="D545" s="11" t="s">
        <v>3191</v>
      </c>
      <c r="E545" s="11" t="str" cm="1">
        <f t="array" ref="E545">IF(Table15[[#This Row],[Scott Correction]]="",Table15[[#This Row],[customer_id]],_xlfn.XLOOKUP(Table15[[#This Row],[Scott Correction]],[1]!Table2[[#All],[name]],[1]!Table2[[#All],[id]],"",0,1))</f>
        <v/>
      </c>
      <c r="F545" s="11" t="s">
        <v>5261</v>
      </c>
      <c r="G545" s="11" t="s">
        <v>5262</v>
      </c>
      <c r="H545" s="11"/>
      <c r="I545" s="11" t="s">
        <v>5263</v>
      </c>
      <c r="J545" s="11" t="s">
        <v>5264</v>
      </c>
      <c r="K545" s="11" t="s">
        <v>5265</v>
      </c>
      <c r="L545" s="13"/>
    </row>
    <row r="546" spans="1:12" ht="18" customHeight="1" x14ac:dyDescent="0.25">
      <c r="A546" s="8"/>
      <c r="B546" s="9">
        <v>390</v>
      </c>
      <c r="C546" s="6" t="str">
        <f>IFERROR(VLOOKUP(B546,[1]customers!$A:$B,2,0),"")</f>
        <v>Lextech Industries</v>
      </c>
      <c r="D546" s="6" t="s">
        <v>3191</v>
      </c>
      <c r="E546" s="6" t="str" cm="1">
        <f t="array" ref="E546">IF(Table15[[#This Row],[Scott Correction]]="",Table15[[#This Row],[customer_id]],_xlfn.XLOOKUP(Table15[[#This Row],[Scott Correction]],[1]!Table2[[#All],[name]],[1]!Table2[[#All],[id]],"",0,1))</f>
        <v/>
      </c>
      <c r="F546" s="9" t="s">
        <v>5266</v>
      </c>
      <c r="G546" s="9" t="s">
        <v>5267</v>
      </c>
      <c r="H546" s="9"/>
      <c r="I546" s="9" t="s">
        <v>5268</v>
      </c>
      <c r="J546" s="9"/>
      <c r="K546" s="9" t="s">
        <v>5269</v>
      </c>
      <c r="L546" s="10"/>
    </row>
    <row r="547" spans="1:12" ht="18" customHeight="1" x14ac:dyDescent="0.25">
      <c r="A547" s="12"/>
      <c r="B547" s="11" t="s">
        <v>3190</v>
      </c>
      <c r="C547" s="11" t="str">
        <f>IFERROR(VLOOKUP(B547,[1]customers!$A:$B,2,0),"")</f>
        <v/>
      </c>
      <c r="D547" s="11" t="s">
        <v>3191</v>
      </c>
      <c r="E547" s="11" t="str" cm="1">
        <f t="array" ref="E547">IF(Table15[[#This Row],[Scott Correction]]="",Table15[[#This Row],[customer_id]],_xlfn.XLOOKUP(Table15[[#This Row],[Scott Correction]],[1]!Table2[[#All],[name]],[1]!Table2[[#All],[id]],"",0,1))</f>
        <v/>
      </c>
      <c r="F547" s="11" t="s">
        <v>5270</v>
      </c>
      <c r="G547" s="11" t="s">
        <v>5271</v>
      </c>
      <c r="H547" s="11"/>
      <c r="I547" s="11" t="s">
        <v>5272</v>
      </c>
      <c r="J547" s="11"/>
      <c r="K547" s="11" t="s">
        <v>5273</v>
      </c>
      <c r="L547" s="13"/>
    </row>
    <row r="548" spans="1:12" ht="18" customHeight="1" x14ac:dyDescent="0.25">
      <c r="A548" s="12"/>
      <c r="B548" s="11" t="s">
        <v>3190</v>
      </c>
      <c r="C548" s="11" t="str">
        <f>IFERROR(VLOOKUP(B548,[1]customers!$A:$B,2,0),"")</f>
        <v/>
      </c>
      <c r="D548" s="11" t="s">
        <v>3191</v>
      </c>
      <c r="E548" s="11" t="str" cm="1">
        <f t="array" ref="E548">IF(Table15[[#This Row],[Scott Correction]]="",Table15[[#This Row],[customer_id]],_xlfn.XLOOKUP(Table15[[#This Row],[Scott Correction]],[1]!Table2[[#All],[name]],[1]!Table2[[#All],[id]],"",0,1))</f>
        <v/>
      </c>
      <c r="F548" s="11" t="s">
        <v>5274</v>
      </c>
      <c r="G548" s="11" t="s">
        <v>5275</v>
      </c>
      <c r="H548" s="11"/>
      <c r="I548" s="11" t="s">
        <v>5276</v>
      </c>
      <c r="J548" s="11"/>
      <c r="K548" s="11" t="s">
        <v>5277</v>
      </c>
      <c r="L548" s="13"/>
    </row>
    <row r="549" spans="1:12" ht="18" customHeight="1" x14ac:dyDescent="0.25">
      <c r="A549" s="12"/>
      <c r="B549" s="11" t="s">
        <v>3190</v>
      </c>
      <c r="C549" s="11" t="str">
        <f>IFERROR(VLOOKUP(B549,[1]customers!$A:$B,2,0),"")</f>
        <v/>
      </c>
      <c r="D549" s="11" t="s">
        <v>3191</v>
      </c>
      <c r="E549" s="11" t="str" cm="1">
        <f t="array" ref="E549">IF(Table15[[#This Row],[Scott Correction]]="",Table15[[#This Row],[customer_id]],_xlfn.XLOOKUP(Table15[[#This Row],[Scott Correction]],[1]!Table2[[#All],[name]],[1]!Table2[[#All],[id]],"",0,1))</f>
        <v/>
      </c>
      <c r="F549" s="11" t="s">
        <v>5278</v>
      </c>
      <c r="G549" s="11" t="s">
        <v>5279</v>
      </c>
      <c r="H549" s="11"/>
      <c r="I549" s="11" t="s">
        <v>5280</v>
      </c>
      <c r="J549" s="11" t="s">
        <v>5281</v>
      </c>
      <c r="K549" s="11" t="s">
        <v>5282</v>
      </c>
      <c r="L549" s="13"/>
    </row>
    <row r="550" spans="1:12" ht="18" customHeight="1" x14ac:dyDescent="0.25">
      <c r="A550" s="12"/>
      <c r="B550" s="11" t="s">
        <v>3190</v>
      </c>
      <c r="C550" s="11" t="str">
        <f>IFERROR(VLOOKUP(B550,[1]customers!$A:$B,2,0),"")</f>
        <v/>
      </c>
      <c r="D550" s="11" t="s">
        <v>3191</v>
      </c>
      <c r="E550" s="11" t="str" cm="1">
        <f t="array" ref="E550">IF(Table15[[#This Row],[Scott Correction]]="",Table15[[#This Row],[customer_id]],_xlfn.XLOOKUP(Table15[[#This Row],[Scott Correction]],[1]!Table2[[#All],[name]],[1]!Table2[[#All],[id]],"",0,1))</f>
        <v/>
      </c>
      <c r="F550" s="11" t="s">
        <v>5278</v>
      </c>
      <c r="G550" s="11" t="s">
        <v>5283</v>
      </c>
      <c r="H550" s="11"/>
      <c r="I550" s="11" t="s">
        <v>5284</v>
      </c>
      <c r="J550" s="11" t="s">
        <v>5285</v>
      </c>
      <c r="K550" s="11" t="s">
        <v>5282</v>
      </c>
      <c r="L550" s="13"/>
    </row>
    <row r="551" spans="1:12" ht="18" customHeight="1" x14ac:dyDescent="0.25">
      <c r="A551" s="12"/>
      <c r="B551" s="11" t="s">
        <v>3190</v>
      </c>
      <c r="C551" s="11" t="str">
        <f>IFERROR(VLOOKUP(B551,[1]customers!$A:$B,2,0),"")</f>
        <v/>
      </c>
      <c r="D551" s="11" t="s">
        <v>3191</v>
      </c>
      <c r="E551" s="11" t="str" cm="1">
        <f t="array" ref="E551">IF(Table15[[#This Row],[Scott Correction]]="",Table15[[#This Row],[customer_id]],_xlfn.XLOOKUP(Table15[[#This Row],[Scott Correction]],[1]!Table2[[#All],[name]],[1]!Table2[[#All],[id]],"",0,1))</f>
        <v/>
      </c>
      <c r="F551" s="11" t="s">
        <v>5286</v>
      </c>
      <c r="G551" s="11" t="s">
        <v>5287</v>
      </c>
      <c r="H551" s="11"/>
      <c r="I551" s="11" t="s">
        <v>5288</v>
      </c>
      <c r="J551" s="11" t="s">
        <v>5289</v>
      </c>
      <c r="K551" s="11" t="s">
        <v>5290</v>
      </c>
      <c r="L551" s="13"/>
    </row>
    <row r="552" spans="1:12" ht="18" customHeight="1" x14ac:dyDescent="0.25">
      <c r="A552" s="12"/>
      <c r="B552" s="11" t="s">
        <v>3190</v>
      </c>
      <c r="C552" s="11" t="str">
        <f>IFERROR(VLOOKUP(B552,[1]customers!$A:$B,2,0),"")</f>
        <v/>
      </c>
      <c r="D552" s="11" t="s">
        <v>3191</v>
      </c>
      <c r="E552" s="11" t="str" cm="1">
        <f t="array" ref="E552">IF(Table15[[#This Row],[Scott Correction]]="",Table15[[#This Row],[customer_id]],_xlfn.XLOOKUP(Table15[[#This Row],[Scott Correction]],[1]!Table2[[#All],[name]],[1]!Table2[[#All],[id]],"",0,1))</f>
        <v/>
      </c>
      <c r="F552" s="11" t="s">
        <v>5291</v>
      </c>
      <c r="G552" s="11" t="s">
        <v>5292</v>
      </c>
      <c r="H552" s="11"/>
      <c r="I552" s="11" t="s">
        <v>5293</v>
      </c>
      <c r="J552" s="11" t="s">
        <v>5294</v>
      </c>
      <c r="K552" s="11" t="s">
        <v>5295</v>
      </c>
      <c r="L552" s="13"/>
    </row>
    <row r="553" spans="1:12" ht="18" customHeight="1" x14ac:dyDescent="0.25">
      <c r="A553" s="12"/>
      <c r="B553" s="11" t="s">
        <v>3190</v>
      </c>
      <c r="C553" s="11" t="str">
        <f>IFERROR(VLOOKUP(B553,[1]customers!$A:$B,2,0),"")</f>
        <v/>
      </c>
      <c r="D553" s="11" t="s">
        <v>3191</v>
      </c>
      <c r="E553" s="11" t="str" cm="1">
        <f t="array" ref="E553">IF(Table15[[#This Row],[Scott Correction]]="",Table15[[#This Row],[customer_id]],_xlfn.XLOOKUP(Table15[[#This Row],[Scott Correction]],[1]!Table2[[#All],[name]],[1]!Table2[[#All],[id]],"",0,1))</f>
        <v/>
      </c>
      <c r="F553" s="11" t="s">
        <v>5296</v>
      </c>
      <c r="G553" s="11" t="s">
        <v>5297</v>
      </c>
      <c r="H553" s="11"/>
      <c r="I553" s="11"/>
      <c r="J553" s="11" t="s">
        <v>5298</v>
      </c>
      <c r="K553" s="11" t="s">
        <v>5299</v>
      </c>
      <c r="L553" s="13"/>
    </row>
    <row r="554" spans="1:12" ht="18" customHeight="1" x14ac:dyDescent="0.25">
      <c r="A554" s="12"/>
      <c r="B554" s="11" t="s">
        <v>3190</v>
      </c>
      <c r="C554" s="11" t="str">
        <f>IFERROR(VLOOKUP(B554,[1]customers!$A:$B,2,0),"")</f>
        <v/>
      </c>
      <c r="D554" s="11" t="s">
        <v>3191</v>
      </c>
      <c r="E554" s="11" t="str" cm="1">
        <f t="array" ref="E554">IF(Table15[[#This Row],[Scott Correction]]="",Table15[[#This Row],[customer_id]],_xlfn.XLOOKUP(Table15[[#This Row],[Scott Correction]],[1]!Table2[[#All],[name]],[1]!Table2[[#All],[id]],"",0,1))</f>
        <v/>
      </c>
      <c r="F554" s="11" t="s">
        <v>5300</v>
      </c>
      <c r="G554" s="11" t="s">
        <v>5301</v>
      </c>
      <c r="H554" s="11"/>
      <c r="I554" s="11" t="s">
        <v>5302</v>
      </c>
      <c r="J554" s="11"/>
      <c r="K554" s="11" t="s">
        <v>5303</v>
      </c>
      <c r="L554" s="13"/>
    </row>
    <row r="555" spans="1:12" ht="18" customHeight="1" x14ac:dyDescent="0.25">
      <c r="A555" s="12"/>
      <c r="B555" s="11" t="s">
        <v>3190</v>
      </c>
      <c r="C555" s="11" t="str">
        <f>IFERROR(VLOOKUP(B555,[1]customers!$A:$B,2,0),"")</f>
        <v/>
      </c>
      <c r="D555" s="11" t="s">
        <v>3191</v>
      </c>
      <c r="E555" s="11" t="str" cm="1">
        <f t="array" ref="E555">IF(Table15[[#This Row],[Scott Correction]]="",Table15[[#This Row],[customer_id]],_xlfn.XLOOKUP(Table15[[#This Row],[Scott Correction]],[1]!Table2[[#All],[name]],[1]!Table2[[#All],[id]],"",0,1))</f>
        <v/>
      </c>
      <c r="F555" s="11" t="s">
        <v>5304</v>
      </c>
      <c r="G555" s="11" t="s">
        <v>5305</v>
      </c>
      <c r="H555" s="11"/>
      <c r="I555" s="11" t="s">
        <v>5306</v>
      </c>
      <c r="J555" s="11"/>
      <c r="K555" s="11" t="s">
        <v>5307</v>
      </c>
      <c r="L555" s="13"/>
    </row>
    <row r="556" spans="1:12" ht="18" customHeight="1" x14ac:dyDescent="0.25">
      <c r="A556" s="12"/>
      <c r="B556" s="11" t="s">
        <v>3190</v>
      </c>
      <c r="C556" s="11" t="str">
        <f>IFERROR(VLOOKUP(B556,[1]customers!$A:$B,2,0),"")</f>
        <v/>
      </c>
      <c r="D556" s="11" t="s">
        <v>3191</v>
      </c>
      <c r="E556" s="11" t="str" cm="1">
        <f t="array" ref="E556">IF(Table15[[#This Row],[Scott Correction]]="",Table15[[#This Row],[customer_id]],_xlfn.XLOOKUP(Table15[[#This Row],[Scott Correction]],[1]!Table2[[#All],[name]],[1]!Table2[[#All],[id]],"",0,1))</f>
        <v/>
      </c>
      <c r="F556" s="11" t="s">
        <v>5308</v>
      </c>
      <c r="G556" s="11" t="s">
        <v>5309</v>
      </c>
      <c r="H556" s="11"/>
      <c r="I556" s="11" t="s">
        <v>5310</v>
      </c>
      <c r="J556" s="11"/>
      <c r="K556" s="11" t="s">
        <v>5311</v>
      </c>
      <c r="L556" s="13"/>
    </row>
    <row r="557" spans="1:12" ht="18" customHeight="1" x14ac:dyDescent="0.25">
      <c r="A557" s="12"/>
      <c r="B557" s="11" t="s">
        <v>3190</v>
      </c>
      <c r="C557" s="11" t="str">
        <f>IFERROR(VLOOKUP(B557,[1]customers!$A:$B,2,0),"")</f>
        <v/>
      </c>
      <c r="D557" s="11" t="s">
        <v>3191</v>
      </c>
      <c r="E557" s="11" t="str" cm="1">
        <f t="array" ref="E557">IF(Table15[[#This Row],[Scott Correction]]="",Table15[[#This Row],[customer_id]],_xlfn.XLOOKUP(Table15[[#This Row],[Scott Correction]],[1]!Table2[[#All],[name]],[1]!Table2[[#All],[id]],"",0,1))</f>
        <v/>
      </c>
      <c r="F557" s="11" t="s">
        <v>5312</v>
      </c>
      <c r="G557" s="11" t="s">
        <v>5313</v>
      </c>
      <c r="H557" s="11"/>
      <c r="I557" s="11" t="s">
        <v>5314</v>
      </c>
      <c r="J557" s="11"/>
      <c r="K557" s="11" t="s">
        <v>5315</v>
      </c>
      <c r="L557" s="13"/>
    </row>
    <row r="558" spans="1:12" ht="18" customHeight="1" x14ac:dyDescent="0.25">
      <c r="A558" s="12"/>
      <c r="B558" s="11" t="s">
        <v>3190</v>
      </c>
      <c r="C558" s="11" t="str">
        <f>IFERROR(VLOOKUP(B558,[1]customers!$A:$B,2,0),"")</f>
        <v/>
      </c>
      <c r="D558" s="11" t="s">
        <v>3191</v>
      </c>
      <c r="E558" s="11" t="str" cm="1">
        <f t="array" ref="E558">IF(Table15[[#This Row],[Scott Correction]]="",Table15[[#This Row],[customer_id]],_xlfn.XLOOKUP(Table15[[#This Row],[Scott Correction]],[1]!Table2[[#All],[name]],[1]!Table2[[#All],[id]],"",0,1))</f>
        <v/>
      </c>
      <c r="F558" s="11" t="s">
        <v>5316</v>
      </c>
      <c r="G558" s="11" t="s">
        <v>5317</v>
      </c>
      <c r="H558" s="11"/>
      <c r="I558" s="11" t="s">
        <v>5318</v>
      </c>
      <c r="J558" s="11" t="s">
        <v>5319</v>
      </c>
      <c r="K558" s="11" t="s">
        <v>5320</v>
      </c>
      <c r="L558" s="13"/>
    </row>
    <row r="559" spans="1:12" ht="18" customHeight="1" x14ac:dyDescent="0.25">
      <c r="A559" s="12"/>
      <c r="B559" s="11" t="s">
        <v>3190</v>
      </c>
      <c r="C559" s="11" t="str">
        <f>IFERROR(VLOOKUP(B559,[1]customers!$A:$B,2,0),"")</f>
        <v/>
      </c>
      <c r="D559" s="11" t="s">
        <v>3191</v>
      </c>
      <c r="E559" s="11" t="str" cm="1">
        <f t="array" ref="E559">IF(Table15[[#This Row],[Scott Correction]]="",Table15[[#This Row],[customer_id]],_xlfn.XLOOKUP(Table15[[#This Row],[Scott Correction]],[1]!Table2[[#All],[name]],[1]!Table2[[#All],[id]],"",0,1))</f>
        <v/>
      </c>
      <c r="F559" s="11" t="s">
        <v>5321</v>
      </c>
      <c r="G559" s="11" t="s">
        <v>5322</v>
      </c>
      <c r="H559" s="11"/>
      <c r="I559" s="11" t="s">
        <v>5323</v>
      </c>
      <c r="J559" s="11"/>
      <c r="K559" s="11" t="s">
        <v>5324</v>
      </c>
      <c r="L559" s="13"/>
    </row>
    <row r="560" spans="1:12" ht="18" customHeight="1" x14ac:dyDescent="0.25">
      <c r="A560" s="4"/>
      <c r="B560" s="5">
        <v>673</v>
      </c>
      <c r="C560" s="6" t="str">
        <f>IFERROR(VLOOKUP(B560,[1]customers!$A:$B,2,0),"")</f>
        <v>Thermoform Products</v>
      </c>
      <c r="D560" s="6" t="s">
        <v>3191</v>
      </c>
      <c r="E560" s="6" t="str" cm="1">
        <f t="array" ref="E560">IF(Table15[[#This Row],[Scott Correction]]="",Table15[[#This Row],[customer_id]],_xlfn.XLOOKUP(Table15[[#This Row],[Scott Correction]],[1]!Table2[[#All],[name]],[1]!Table2[[#All],[id]],"",0,1))</f>
        <v/>
      </c>
      <c r="F560" s="5" t="s">
        <v>5325</v>
      </c>
      <c r="G560" s="5" t="s">
        <v>5326</v>
      </c>
      <c r="H560" s="5"/>
      <c r="I560" s="5" t="s">
        <v>5327</v>
      </c>
      <c r="J560" s="5"/>
      <c r="K560" s="5">
        <v>6145542338</v>
      </c>
      <c r="L560" s="7"/>
    </row>
    <row r="561" spans="1:12" ht="18" customHeight="1" x14ac:dyDescent="0.25">
      <c r="A561" s="12"/>
      <c r="B561" s="11" t="s">
        <v>3190</v>
      </c>
      <c r="C561" s="11" t="str">
        <f>IFERROR(VLOOKUP(B561,[1]customers!$A:$B,2,0),"")</f>
        <v/>
      </c>
      <c r="D561" s="11" t="s">
        <v>3191</v>
      </c>
      <c r="E561" s="11" t="str" cm="1">
        <f t="array" ref="E561">IF(Table15[[#This Row],[Scott Correction]]="",Table15[[#This Row],[customer_id]],_xlfn.XLOOKUP(Table15[[#This Row],[Scott Correction]],[1]!Table2[[#All],[name]],[1]!Table2[[#All],[id]],"",0,1))</f>
        <v/>
      </c>
      <c r="F561" s="11" t="s">
        <v>5328</v>
      </c>
      <c r="G561" s="11" t="s">
        <v>5329</v>
      </c>
      <c r="H561" s="11"/>
      <c r="I561" s="11" t="s">
        <v>5330</v>
      </c>
      <c r="J561" s="11"/>
      <c r="K561" s="11">
        <v>9373010322</v>
      </c>
      <c r="L561" s="13"/>
    </row>
    <row r="562" spans="1:12" ht="18" customHeight="1" x14ac:dyDescent="0.25">
      <c r="A562" s="12"/>
      <c r="B562" s="11" t="s">
        <v>3190</v>
      </c>
      <c r="C562" s="11" t="str">
        <f>IFERROR(VLOOKUP(B562,[1]customers!$A:$B,2,0),"")</f>
        <v/>
      </c>
      <c r="D562" s="11" t="s">
        <v>3191</v>
      </c>
      <c r="E562" s="11" t="str" cm="1">
        <f t="array" ref="E562">IF(Table15[[#This Row],[Scott Correction]]="",Table15[[#This Row],[customer_id]],_xlfn.XLOOKUP(Table15[[#This Row],[Scott Correction]],[1]!Table2[[#All],[name]],[1]!Table2[[#All],[id]],"",0,1))</f>
        <v/>
      </c>
      <c r="F562" s="11" t="s">
        <v>5331</v>
      </c>
      <c r="G562" s="11" t="s">
        <v>5332</v>
      </c>
      <c r="H562" s="11"/>
      <c r="I562" s="11" t="s">
        <v>5333</v>
      </c>
      <c r="J562" s="11"/>
      <c r="K562" s="11" t="s">
        <v>5334</v>
      </c>
      <c r="L562" s="13"/>
    </row>
    <row r="563" spans="1:12" ht="18" customHeight="1" x14ac:dyDescent="0.25">
      <c r="A563" s="8"/>
      <c r="B563" s="9">
        <v>341</v>
      </c>
      <c r="C563" s="6" t="str">
        <f>IFERROR(VLOOKUP(B563,[1]customers!$A:$B,2,0),"")</f>
        <v>International Metal Trading</v>
      </c>
      <c r="D563" s="6" t="s">
        <v>3191</v>
      </c>
      <c r="E563" s="6" t="str" cm="1">
        <f t="array" ref="E563">IF(Table15[[#This Row],[Scott Correction]]="",Table15[[#This Row],[customer_id]],_xlfn.XLOOKUP(Table15[[#This Row],[Scott Correction]],[1]!Table2[[#All],[name]],[1]!Table2[[#All],[id]],"",0,1))</f>
        <v/>
      </c>
      <c r="F563" s="9" t="s">
        <v>5335</v>
      </c>
      <c r="G563" s="9" t="s">
        <v>5336</v>
      </c>
      <c r="H563" s="9"/>
      <c r="I563" s="9" t="s">
        <v>5337</v>
      </c>
      <c r="J563" s="9" t="s">
        <v>5338</v>
      </c>
      <c r="K563" s="9" t="s">
        <v>5339</v>
      </c>
      <c r="L563" s="10"/>
    </row>
    <row r="564" spans="1:12" ht="18" customHeight="1" x14ac:dyDescent="0.25">
      <c r="A564" s="12"/>
      <c r="B564" s="11" t="s">
        <v>3190</v>
      </c>
      <c r="C564" s="11" t="str">
        <f>IFERROR(VLOOKUP(B564,[1]customers!$A:$B,2,0),"")</f>
        <v/>
      </c>
      <c r="D564" s="11" t="s">
        <v>3191</v>
      </c>
      <c r="E564" s="11" t="str" cm="1">
        <f t="array" ref="E564">IF(Table15[[#This Row],[Scott Correction]]="",Table15[[#This Row],[customer_id]],_xlfn.XLOOKUP(Table15[[#This Row],[Scott Correction]],[1]!Table2[[#All],[name]],[1]!Table2[[#All],[id]],"",0,1))</f>
        <v/>
      </c>
      <c r="F564" s="11" t="s">
        <v>5340</v>
      </c>
      <c r="G564" s="11" t="s">
        <v>5341</v>
      </c>
      <c r="H564" s="11"/>
      <c r="I564" s="11" t="s">
        <v>5342</v>
      </c>
      <c r="J564" s="11"/>
      <c r="K564" s="11" t="s">
        <v>5343</v>
      </c>
      <c r="L564" s="13"/>
    </row>
    <row r="565" spans="1:12" ht="18" customHeight="1" x14ac:dyDescent="0.25">
      <c r="A565" s="4"/>
      <c r="B565" s="5">
        <v>570</v>
      </c>
      <c r="C565" s="6" t="str">
        <f>IFERROR(VLOOKUP(B565,[1]customers!$A:$B,2,0),"")</f>
        <v>RMS Transport</v>
      </c>
      <c r="D565" s="6" t="s">
        <v>3191</v>
      </c>
      <c r="E565" s="6" t="str" cm="1">
        <f t="array" ref="E565">IF(Table15[[#This Row],[Scott Correction]]="",Table15[[#This Row],[customer_id]],_xlfn.XLOOKUP(Table15[[#This Row],[Scott Correction]],[1]!Table2[[#All],[name]],[1]!Table2[[#All],[id]],"",0,1))</f>
        <v/>
      </c>
      <c r="F565" s="5" t="s">
        <v>5344</v>
      </c>
      <c r="G565" s="5" t="s">
        <v>5345</v>
      </c>
      <c r="H565" s="5"/>
      <c r="I565" s="5"/>
      <c r="J565" s="5"/>
      <c r="K565" s="5" t="s">
        <v>5346</v>
      </c>
      <c r="L565" s="7"/>
    </row>
    <row r="566" spans="1:12" ht="18" customHeight="1" x14ac:dyDescent="0.25">
      <c r="A566" s="12"/>
      <c r="B566" s="11" t="s">
        <v>3190</v>
      </c>
      <c r="C566" s="11" t="str">
        <f>IFERROR(VLOOKUP(B566,[1]customers!$A:$B,2,0),"")</f>
        <v/>
      </c>
      <c r="D566" s="11" t="s">
        <v>3191</v>
      </c>
      <c r="E566" s="11" t="str" cm="1">
        <f t="array" ref="E566">IF(Table15[[#This Row],[Scott Correction]]="",Table15[[#This Row],[customer_id]],_xlfn.XLOOKUP(Table15[[#This Row],[Scott Correction]],[1]!Table2[[#All],[name]],[1]!Table2[[#All],[id]],"",0,1))</f>
        <v/>
      </c>
      <c r="F566" s="11" t="s">
        <v>5347</v>
      </c>
      <c r="G566" s="11" t="s">
        <v>5348</v>
      </c>
      <c r="H566" s="11"/>
      <c r="I566" s="11" t="s">
        <v>5349</v>
      </c>
      <c r="J566" s="11" t="s">
        <v>5350</v>
      </c>
      <c r="K566" s="11" t="s">
        <v>5351</v>
      </c>
      <c r="L566" s="13"/>
    </row>
    <row r="567" spans="1:12" ht="18" customHeight="1" x14ac:dyDescent="0.25">
      <c r="A567" s="12"/>
      <c r="B567" s="11" t="s">
        <v>3190</v>
      </c>
      <c r="C567" s="11" t="str">
        <f>IFERROR(VLOOKUP(B567,[1]customers!$A:$B,2,0),"")</f>
        <v/>
      </c>
      <c r="D567" s="11" t="s">
        <v>3191</v>
      </c>
      <c r="E567" s="11" t="str" cm="1">
        <f t="array" ref="E567">IF(Table15[[#This Row],[Scott Correction]]="",Table15[[#This Row],[customer_id]],_xlfn.XLOOKUP(Table15[[#This Row],[Scott Correction]],[1]!Table2[[#All],[name]],[1]!Table2[[#All],[id]],"",0,1))</f>
        <v/>
      </c>
      <c r="F567" s="11" t="s">
        <v>5352</v>
      </c>
      <c r="G567" s="11" t="s">
        <v>5353</v>
      </c>
      <c r="H567" s="11"/>
      <c r="I567" s="11" t="s">
        <v>5354</v>
      </c>
      <c r="J567" s="11"/>
      <c r="K567" s="11">
        <v>4078359777</v>
      </c>
      <c r="L567" s="13"/>
    </row>
    <row r="568" spans="1:12" ht="18" customHeight="1" x14ac:dyDescent="0.25">
      <c r="A568" s="8"/>
      <c r="B568" s="9">
        <v>496</v>
      </c>
      <c r="C568" s="6" t="str">
        <f>IFERROR(VLOOKUP(B568,[1]customers!$A:$B,2,0),"")</f>
        <v>Peevy Construction</v>
      </c>
      <c r="D568" s="6" t="s">
        <v>3191</v>
      </c>
      <c r="E568" s="6" t="str" cm="1">
        <f t="array" ref="E568">IF(Table15[[#This Row],[Scott Correction]]="",Table15[[#This Row],[customer_id]],_xlfn.XLOOKUP(Table15[[#This Row],[Scott Correction]],[1]!Table2[[#All],[name]],[1]!Table2[[#All],[id]],"",0,1))</f>
        <v/>
      </c>
      <c r="F568" s="9" t="s">
        <v>5355</v>
      </c>
      <c r="G568" s="9" t="s">
        <v>5356</v>
      </c>
      <c r="H568" s="9"/>
      <c r="I568" s="9" t="s">
        <v>5357</v>
      </c>
      <c r="J568" s="9" t="s">
        <v>5358</v>
      </c>
      <c r="K568" s="9"/>
      <c r="L568" s="10"/>
    </row>
    <row r="569" spans="1:12" ht="18" customHeight="1" x14ac:dyDescent="0.25">
      <c r="A569" s="12"/>
      <c r="B569" s="11" t="s">
        <v>3190</v>
      </c>
      <c r="C569" s="11" t="str">
        <f>IFERROR(VLOOKUP(B569,[1]customers!$A:$B,2,0),"")</f>
        <v/>
      </c>
      <c r="D569" s="11" t="s">
        <v>3191</v>
      </c>
      <c r="E569" s="11" t="str" cm="1">
        <f t="array" ref="E569">IF(Table15[[#This Row],[Scott Correction]]="",Table15[[#This Row],[customer_id]],_xlfn.XLOOKUP(Table15[[#This Row],[Scott Correction]],[1]!Table2[[#All],[name]],[1]!Table2[[#All],[id]],"",0,1))</f>
        <v/>
      </c>
      <c r="F569" s="11" t="s">
        <v>5359</v>
      </c>
      <c r="G569" s="11" t="s">
        <v>5360</v>
      </c>
      <c r="H569" s="11"/>
      <c r="I569" s="11" t="s">
        <v>5361</v>
      </c>
      <c r="J569" s="11"/>
      <c r="K569" s="11" t="s">
        <v>5362</v>
      </c>
      <c r="L569" s="13"/>
    </row>
    <row r="570" spans="1:12" ht="18" customHeight="1" x14ac:dyDescent="0.25">
      <c r="A570" s="12"/>
      <c r="B570" s="11" t="s">
        <v>3190</v>
      </c>
      <c r="C570" s="11" t="str">
        <f>IFERROR(VLOOKUP(B570,[1]customers!$A:$B,2,0),"")</f>
        <v/>
      </c>
      <c r="D570" s="11" t="s">
        <v>3191</v>
      </c>
      <c r="E570" s="11" t="str" cm="1">
        <f t="array" ref="E570">IF(Table15[[#This Row],[Scott Correction]]="",Table15[[#This Row],[customer_id]],_xlfn.XLOOKUP(Table15[[#This Row],[Scott Correction]],[1]!Table2[[#All],[name]],[1]!Table2[[#All],[id]],"",0,1))</f>
        <v/>
      </c>
      <c r="F570" s="11" t="s">
        <v>5363</v>
      </c>
      <c r="G570" s="11" t="s">
        <v>5364</v>
      </c>
      <c r="H570" s="11"/>
      <c r="I570" s="11"/>
      <c r="J570" s="11" t="s">
        <v>5365</v>
      </c>
      <c r="K570" s="11" t="s">
        <v>5366</v>
      </c>
      <c r="L570" s="13"/>
    </row>
    <row r="571" spans="1:12" ht="18" customHeight="1" x14ac:dyDescent="0.25">
      <c r="A571" s="12"/>
      <c r="B571" s="11" t="s">
        <v>3190</v>
      </c>
      <c r="C571" s="11" t="str">
        <f>IFERROR(VLOOKUP(B571,[1]customers!$A:$B,2,0),"")</f>
        <v/>
      </c>
      <c r="D571" s="11" t="s">
        <v>3191</v>
      </c>
      <c r="E571" s="11" t="str" cm="1">
        <f t="array" ref="E571">IF(Table15[[#This Row],[Scott Correction]]="",Table15[[#This Row],[customer_id]],_xlfn.XLOOKUP(Table15[[#This Row],[Scott Correction]],[1]!Table2[[#All],[name]],[1]!Table2[[#All],[id]],"",0,1))</f>
        <v/>
      </c>
      <c r="F571" s="11" t="s">
        <v>5363</v>
      </c>
      <c r="G571" s="11" t="s">
        <v>5367</v>
      </c>
      <c r="H571" s="11"/>
      <c r="I571" s="11" t="s">
        <v>5368</v>
      </c>
      <c r="J571" s="11" t="s">
        <v>5369</v>
      </c>
      <c r="K571" s="11" t="s">
        <v>5366</v>
      </c>
      <c r="L571" s="13"/>
    </row>
    <row r="572" spans="1:12" ht="18" customHeight="1" x14ac:dyDescent="0.25">
      <c r="A572" s="12"/>
      <c r="B572" s="11" t="s">
        <v>3190</v>
      </c>
      <c r="C572" s="11" t="str">
        <f>IFERROR(VLOOKUP(B572,[1]customers!$A:$B,2,0),"")</f>
        <v/>
      </c>
      <c r="D572" s="11" t="s">
        <v>3191</v>
      </c>
      <c r="E572" s="11" t="str" cm="1">
        <f t="array" ref="E572">IF(Table15[[#This Row],[Scott Correction]]="",Table15[[#This Row],[customer_id]],_xlfn.XLOOKUP(Table15[[#This Row],[Scott Correction]],[1]!Table2[[#All],[name]],[1]!Table2[[#All],[id]],"",0,1))</f>
        <v/>
      </c>
      <c r="F572" s="11" t="s">
        <v>5370</v>
      </c>
      <c r="G572" s="11" t="s">
        <v>5371</v>
      </c>
      <c r="H572" s="11"/>
      <c r="I572" s="11" t="s">
        <v>5372</v>
      </c>
      <c r="J572" s="11" t="s">
        <v>5373</v>
      </c>
      <c r="K572" s="11" t="s">
        <v>5374</v>
      </c>
      <c r="L572" s="13"/>
    </row>
    <row r="573" spans="1:12" ht="18" customHeight="1" x14ac:dyDescent="0.25">
      <c r="A573" s="12"/>
      <c r="B573" s="11" t="s">
        <v>3190</v>
      </c>
      <c r="C573" s="11" t="str">
        <f>IFERROR(VLOOKUP(B573,[1]customers!$A:$B,2,0),"")</f>
        <v/>
      </c>
      <c r="D573" s="11" t="s">
        <v>3191</v>
      </c>
      <c r="E573" s="11" t="str" cm="1">
        <f t="array" ref="E573">IF(Table15[[#This Row],[Scott Correction]]="",Table15[[#This Row],[customer_id]],_xlfn.XLOOKUP(Table15[[#This Row],[Scott Correction]],[1]!Table2[[#All],[name]],[1]!Table2[[#All],[id]],"",0,1))</f>
        <v/>
      </c>
      <c r="F573" s="11" t="s">
        <v>5375</v>
      </c>
      <c r="G573" s="11" t="s">
        <v>5376</v>
      </c>
      <c r="H573" s="11"/>
      <c r="I573" s="11" t="s">
        <v>5377</v>
      </c>
      <c r="J573" s="11"/>
      <c r="K573" s="11" t="s">
        <v>5378</v>
      </c>
      <c r="L573" s="13"/>
    </row>
    <row r="574" spans="1:12" ht="18" customHeight="1" x14ac:dyDescent="0.25">
      <c r="A574" s="8"/>
      <c r="B574" s="9">
        <v>699</v>
      </c>
      <c r="C574" s="6" t="str">
        <f>IFERROR(VLOOKUP(B574,[1]customers!$A:$B,2,0),"")</f>
        <v>Universal Tire Molds INc</v>
      </c>
      <c r="D574" s="6" t="s">
        <v>3191</v>
      </c>
      <c r="E574" s="6" t="str" cm="1">
        <f t="array" ref="E574">IF(Table15[[#This Row],[Scott Correction]]="",Table15[[#This Row],[customer_id]],_xlfn.XLOOKUP(Table15[[#This Row],[Scott Correction]],[1]!Table2[[#All],[name]],[1]!Table2[[#All],[id]],"",0,1))</f>
        <v/>
      </c>
      <c r="F574" s="9" t="s">
        <v>5379</v>
      </c>
      <c r="G574" s="9" t="s">
        <v>5380</v>
      </c>
      <c r="H574" s="9"/>
      <c r="I574" s="9" t="s">
        <v>5381</v>
      </c>
      <c r="J574" s="9" t="s">
        <v>5382</v>
      </c>
      <c r="K574" s="9" t="s">
        <v>5383</v>
      </c>
      <c r="L574" s="10"/>
    </row>
    <row r="575" spans="1:12" ht="18" customHeight="1" x14ac:dyDescent="0.25">
      <c r="A575" s="12"/>
      <c r="B575" s="11" t="s">
        <v>3190</v>
      </c>
      <c r="C575" s="11" t="str">
        <f>IFERROR(VLOOKUP(B575,[1]customers!$A:$B,2,0),"")</f>
        <v/>
      </c>
      <c r="D575" s="11" t="s">
        <v>3191</v>
      </c>
      <c r="E575" s="11" t="str" cm="1">
        <f t="array" ref="E575">IF(Table15[[#This Row],[Scott Correction]]="",Table15[[#This Row],[customer_id]],_xlfn.XLOOKUP(Table15[[#This Row],[Scott Correction]],[1]!Table2[[#All],[name]],[1]!Table2[[#All],[id]],"",0,1))</f>
        <v/>
      </c>
      <c r="F575" s="11" t="s">
        <v>5384</v>
      </c>
      <c r="G575" s="11" t="s">
        <v>5385</v>
      </c>
      <c r="H575" s="11"/>
      <c r="I575" s="11" t="s">
        <v>5386</v>
      </c>
      <c r="J575" s="11"/>
      <c r="K575" s="11" t="s">
        <v>5387</v>
      </c>
      <c r="L575" s="13"/>
    </row>
    <row r="576" spans="1:12" ht="18" customHeight="1" x14ac:dyDescent="0.25">
      <c r="A576" s="12"/>
      <c r="B576" s="11" t="s">
        <v>3190</v>
      </c>
      <c r="C576" s="11" t="str">
        <f>IFERROR(VLOOKUP(B576,[1]customers!$A:$B,2,0),"")</f>
        <v/>
      </c>
      <c r="D576" s="11" t="s">
        <v>3191</v>
      </c>
      <c r="E576" s="11" t="str" cm="1">
        <f t="array" ref="E576">IF(Table15[[#This Row],[Scott Correction]]="",Table15[[#This Row],[customer_id]],_xlfn.XLOOKUP(Table15[[#This Row],[Scott Correction]],[1]!Table2[[#All],[name]],[1]!Table2[[#All],[id]],"",0,1))</f>
        <v/>
      </c>
      <c r="F576" s="11" t="s">
        <v>5388</v>
      </c>
      <c r="G576" s="11" t="s">
        <v>5389</v>
      </c>
      <c r="H576" s="11"/>
      <c r="I576" s="11" t="s">
        <v>5390</v>
      </c>
      <c r="J576" s="11"/>
      <c r="K576" s="11" t="s">
        <v>5391</v>
      </c>
      <c r="L576" s="13"/>
    </row>
    <row r="577" spans="1:12" ht="18" customHeight="1" x14ac:dyDescent="0.25">
      <c r="A577" s="12"/>
      <c r="B577" s="11" t="s">
        <v>3190</v>
      </c>
      <c r="C577" s="11" t="str">
        <f>IFERROR(VLOOKUP(B577,[1]customers!$A:$B,2,0),"")</f>
        <v/>
      </c>
      <c r="D577" s="11" t="s">
        <v>3191</v>
      </c>
      <c r="E577" s="11" t="str" cm="1">
        <f t="array" ref="E577">IF(Table15[[#This Row],[Scott Correction]]="",Table15[[#This Row],[customer_id]],_xlfn.XLOOKUP(Table15[[#This Row],[Scott Correction]],[1]!Table2[[#All],[name]],[1]!Table2[[#All],[id]],"",0,1))</f>
        <v/>
      </c>
      <c r="F577" s="11" t="s">
        <v>5392</v>
      </c>
      <c r="G577" s="11" t="s">
        <v>5393</v>
      </c>
      <c r="H577" s="11"/>
      <c r="I577" s="11" t="s">
        <v>5394</v>
      </c>
      <c r="J577" s="11"/>
      <c r="K577" s="11" t="s">
        <v>5395</v>
      </c>
      <c r="L577" s="13"/>
    </row>
    <row r="578" spans="1:12" ht="18" customHeight="1" x14ac:dyDescent="0.25">
      <c r="A578" s="12"/>
      <c r="B578" s="11" t="s">
        <v>3190</v>
      </c>
      <c r="C578" s="11" t="str">
        <f>IFERROR(VLOOKUP(B578,[1]customers!$A:$B,2,0),"")</f>
        <v/>
      </c>
      <c r="D578" s="11" t="s">
        <v>3191</v>
      </c>
      <c r="E578" s="11" t="str" cm="1">
        <f t="array" ref="E578">IF(Table15[[#This Row],[Scott Correction]]="",Table15[[#This Row],[customer_id]],_xlfn.XLOOKUP(Table15[[#This Row],[Scott Correction]],[1]!Table2[[#All],[name]],[1]!Table2[[#All],[id]],"",0,1))</f>
        <v/>
      </c>
      <c r="F578" s="11" t="s">
        <v>5396</v>
      </c>
      <c r="G578" s="11" t="s">
        <v>5397</v>
      </c>
      <c r="H578" s="11"/>
      <c r="I578" s="11" t="s">
        <v>5398</v>
      </c>
      <c r="J578" s="11"/>
      <c r="K578" s="11" t="s">
        <v>5399</v>
      </c>
      <c r="L578" s="13"/>
    </row>
    <row r="579" spans="1:12" ht="18" customHeight="1" x14ac:dyDescent="0.25">
      <c r="A579" s="12"/>
      <c r="B579" s="11" t="s">
        <v>3190</v>
      </c>
      <c r="C579" s="11" t="str">
        <f>IFERROR(VLOOKUP(B579,[1]customers!$A:$B,2,0),"")</f>
        <v/>
      </c>
      <c r="D579" s="11" t="s">
        <v>3191</v>
      </c>
      <c r="E579" s="11" t="str" cm="1">
        <f t="array" ref="E579">IF(Table15[[#This Row],[Scott Correction]]="",Table15[[#This Row],[customer_id]],_xlfn.XLOOKUP(Table15[[#This Row],[Scott Correction]],[1]!Table2[[#All],[name]],[1]!Table2[[#All],[id]],"",0,1))</f>
        <v/>
      </c>
      <c r="F579" s="11" t="s">
        <v>5400</v>
      </c>
      <c r="G579" s="11" t="s">
        <v>5401</v>
      </c>
      <c r="H579" s="11"/>
      <c r="I579" s="11"/>
      <c r="J579" s="11" t="s">
        <v>5402</v>
      </c>
      <c r="K579" s="11"/>
      <c r="L579" s="13"/>
    </row>
    <row r="580" spans="1:12" ht="18" customHeight="1" x14ac:dyDescent="0.25">
      <c r="A580" s="12"/>
      <c r="B580" s="11" t="s">
        <v>3190</v>
      </c>
      <c r="C580" s="11" t="str">
        <f>IFERROR(VLOOKUP(B580,[1]customers!$A:$B,2,0),"")</f>
        <v/>
      </c>
      <c r="D580" s="11" t="s">
        <v>3191</v>
      </c>
      <c r="E580" s="11" t="str" cm="1">
        <f t="array" ref="E580">IF(Table15[[#This Row],[Scott Correction]]="",Table15[[#This Row],[customer_id]],_xlfn.XLOOKUP(Table15[[#This Row],[Scott Correction]],[1]!Table2[[#All],[name]],[1]!Table2[[#All],[id]],"",0,1))</f>
        <v/>
      </c>
      <c r="F580" s="11" t="s">
        <v>5403</v>
      </c>
      <c r="G580" s="11" t="s">
        <v>5404</v>
      </c>
      <c r="H580" s="11"/>
      <c r="I580" s="11" t="s">
        <v>5405</v>
      </c>
      <c r="J580" s="11"/>
      <c r="K580" s="11" t="s">
        <v>5406</v>
      </c>
      <c r="L580" s="13"/>
    </row>
    <row r="581" spans="1:12" ht="18" customHeight="1" x14ac:dyDescent="0.25">
      <c r="A581" s="12"/>
      <c r="B581" s="11" t="s">
        <v>3190</v>
      </c>
      <c r="C581" s="11" t="str">
        <f>IFERROR(VLOOKUP(B581,[1]customers!$A:$B,2,0),"")</f>
        <v/>
      </c>
      <c r="D581" s="11" t="s">
        <v>3191</v>
      </c>
      <c r="E581" s="11" t="str" cm="1">
        <f t="array" ref="E581">IF(Table15[[#This Row],[Scott Correction]]="",Table15[[#This Row],[customer_id]],_xlfn.XLOOKUP(Table15[[#This Row],[Scott Correction]],[1]!Table2[[#All],[name]],[1]!Table2[[#All],[id]],"",0,1))</f>
        <v/>
      </c>
      <c r="F581" s="11" t="s">
        <v>5407</v>
      </c>
      <c r="G581" s="11" t="s">
        <v>5408</v>
      </c>
      <c r="H581" s="11"/>
      <c r="I581" s="11"/>
      <c r="J581" s="11" t="s">
        <v>5409</v>
      </c>
      <c r="K581" s="11"/>
      <c r="L581" s="13"/>
    </row>
    <row r="582" spans="1:12" ht="18" customHeight="1" x14ac:dyDescent="0.25">
      <c r="A582" s="12"/>
      <c r="B582" s="11" t="s">
        <v>3190</v>
      </c>
      <c r="C582" s="11" t="str">
        <f>IFERROR(VLOOKUP(B582,[1]customers!$A:$B,2,0),"")</f>
        <v/>
      </c>
      <c r="D582" s="11" t="s">
        <v>3191</v>
      </c>
      <c r="E582" s="11" t="str" cm="1">
        <f t="array" ref="E582">IF(Table15[[#This Row],[Scott Correction]]="",Table15[[#This Row],[customer_id]],_xlfn.XLOOKUP(Table15[[#This Row],[Scott Correction]],[1]!Table2[[#All],[name]],[1]!Table2[[#All],[id]],"",0,1))</f>
        <v/>
      </c>
      <c r="F582" s="11" t="s">
        <v>5410</v>
      </c>
      <c r="G582" s="11" t="s">
        <v>2555</v>
      </c>
      <c r="H582" s="11"/>
      <c r="I582" s="11" t="s">
        <v>2556</v>
      </c>
      <c r="J582" s="11"/>
      <c r="K582" s="11" t="s">
        <v>2557</v>
      </c>
      <c r="L582" s="13"/>
    </row>
    <row r="583" spans="1:12" ht="18" customHeight="1" x14ac:dyDescent="0.25">
      <c r="A583" s="12"/>
      <c r="B583" s="11" t="s">
        <v>3190</v>
      </c>
      <c r="C583" s="11" t="str">
        <f>IFERROR(VLOOKUP(B583,[1]customers!$A:$B,2,0),"")</f>
        <v/>
      </c>
      <c r="D583" s="11" t="s">
        <v>3191</v>
      </c>
      <c r="E583" s="11" t="str" cm="1">
        <f t="array" ref="E583">IF(Table15[[#This Row],[Scott Correction]]="",Table15[[#This Row],[customer_id]],_xlfn.XLOOKUP(Table15[[#This Row],[Scott Correction]],[1]!Table2[[#All],[name]],[1]!Table2[[#All],[id]],"",0,1))</f>
        <v/>
      </c>
      <c r="F583" s="11" t="s">
        <v>5411</v>
      </c>
      <c r="G583" s="11" t="s">
        <v>5412</v>
      </c>
      <c r="H583" s="11"/>
      <c r="I583" s="11" t="s">
        <v>5413</v>
      </c>
      <c r="J583" s="11" t="s">
        <v>5414</v>
      </c>
      <c r="K583" s="11"/>
      <c r="L583" s="13"/>
    </row>
    <row r="584" spans="1:12" ht="18" customHeight="1" x14ac:dyDescent="0.25">
      <c r="A584" s="8"/>
      <c r="B584" s="9">
        <v>627</v>
      </c>
      <c r="C584" s="6" t="str">
        <f>IFERROR(VLOOKUP(B584,[1]customers!$A:$B,2,0),"")</f>
        <v>Smithers Rapra North America</v>
      </c>
      <c r="D584" s="6" t="s">
        <v>3191</v>
      </c>
      <c r="E584" s="6" t="str" cm="1">
        <f t="array" ref="E584">IF(Table15[[#This Row],[Scott Correction]]="",Table15[[#This Row],[customer_id]],_xlfn.XLOOKUP(Table15[[#This Row],[Scott Correction]],[1]!Table2[[#All],[name]],[1]!Table2[[#All],[id]],"",0,1))</f>
        <v/>
      </c>
      <c r="F584" s="9" t="s">
        <v>5415</v>
      </c>
      <c r="G584" s="9" t="s">
        <v>5416</v>
      </c>
      <c r="H584" s="9"/>
      <c r="I584" s="9" t="s">
        <v>5417</v>
      </c>
      <c r="J584" s="9"/>
      <c r="K584" s="9" t="s">
        <v>5418</v>
      </c>
      <c r="L584" s="10"/>
    </row>
    <row r="585" spans="1:12" ht="18" customHeight="1" x14ac:dyDescent="0.25">
      <c r="A585" s="12"/>
      <c r="B585" s="11" t="s">
        <v>3190</v>
      </c>
      <c r="C585" s="11" t="str">
        <f>IFERROR(VLOOKUP(B585,[1]customers!$A:$B,2,0),"")</f>
        <v/>
      </c>
      <c r="D585" s="11" t="s">
        <v>3191</v>
      </c>
      <c r="E585" s="11" t="str" cm="1">
        <f t="array" ref="E585">IF(Table15[[#This Row],[Scott Correction]]="",Table15[[#This Row],[customer_id]],_xlfn.XLOOKUP(Table15[[#This Row],[Scott Correction]],[1]!Table2[[#All],[name]],[1]!Table2[[#All],[id]],"",0,1))</f>
        <v/>
      </c>
      <c r="F585" s="11" t="s">
        <v>5419</v>
      </c>
      <c r="G585" s="11" t="s">
        <v>5420</v>
      </c>
      <c r="H585" s="11"/>
      <c r="I585" s="11" t="s">
        <v>5421</v>
      </c>
      <c r="J585" s="11"/>
      <c r="K585" s="11" t="s">
        <v>5422</v>
      </c>
      <c r="L585" s="13"/>
    </row>
    <row r="586" spans="1:12" ht="18" customHeight="1" x14ac:dyDescent="0.25">
      <c r="A586" s="12"/>
      <c r="B586" s="11" t="s">
        <v>3190</v>
      </c>
      <c r="C586" s="11" t="str">
        <f>IFERROR(VLOOKUP(B586,[1]customers!$A:$B,2,0),"")</f>
        <v/>
      </c>
      <c r="D586" s="11" t="s">
        <v>3191</v>
      </c>
      <c r="E586" s="11" t="str" cm="1">
        <f t="array" ref="E586">IF(Table15[[#This Row],[Scott Correction]]="",Table15[[#This Row],[customer_id]],_xlfn.XLOOKUP(Table15[[#This Row],[Scott Correction]],[1]!Table2[[#All],[name]],[1]!Table2[[#All],[id]],"",0,1))</f>
        <v/>
      </c>
      <c r="F586" s="11" t="s">
        <v>5423</v>
      </c>
      <c r="G586" s="11" t="s">
        <v>5424</v>
      </c>
      <c r="H586" s="11"/>
      <c r="I586" s="11" t="s">
        <v>5425</v>
      </c>
      <c r="J586" s="11" t="s">
        <v>5426</v>
      </c>
      <c r="K586" s="11" t="s">
        <v>5427</v>
      </c>
      <c r="L586" s="13"/>
    </row>
    <row r="587" spans="1:12" ht="18" customHeight="1" x14ac:dyDescent="0.25">
      <c r="A587" s="8"/>
      <c r="B587" s="9">
        <v>358</v>
      </c>
      <c r="C587" s="6" t="str">
        <f>IFERROR(VLOOKUP(B587,[1]customers!$A:$B,2,0),"")</f>
        <v>JWF Industries</v>
      </c>
      <c r="D587" s="6" t="s">
        <v>3191</v>
      </c>
      <c r="E587" s="6" t="str" cm="1">
        <f t="array" ref="E587">IF(Table15[[#This Row],[Scott Correction]]="",Table15[[#This Row],[customer_id]],_xlfn.XLOOKUP(Table15[[#This Row],[Scott Correction]],[1]!Table2[[#All],[name]],[1]!Table2[[#All],[id]],"",0,1))</f>
        <v/>
      </c>
      <c r="F587" s="9" t="s">
        <v>5428</v>
      </c>
      <c r="G587" s="9" t="s">
        <v>5429</v>
      </c>
      <c r="H587" s="9"/>
      <c r="I587" s="9"/>
      <c r="J587" s="9"/>
      <c r="K587" s="9">
        <v>4195262480</v>
      </c>
      <c r="L587" s="10"/>
    </row>
    <row r="588" spans="1:12" ht="18" customHeight="1" x14ac:dyDescent="0.25">
      <c r="A588" s="12"/>
      <c r="B588" s="11" t="s">
        <v>3190</v>
      </c>
      <c r="C588" s="11" t="str">
        <f>IFERROR(VLOOKUP(B588,[1]customers!$A:$B,2,0),"")</f>
        <v/>
      </c>
      <c r="D588" s="11" t="s">
        <v>3191</v>
      </c>
      <c r="E588" s="11" t="str" cm="1">
        <f t="array" ref="E588">IF(Table15[[#This Row],[Scott Correction]]="",Table15[[#This Row],[customer_id]],_xlfn.XLOOKUP(Table15[[#This Row],[Scott Correction]],[1]!Table2[[#All],[name]],[1]!Table2[[#All],[id]],"",0,1))</f>
        <v/>
      </c>
      <c r="F588" s="11" t="s">
        <v>5430</v>
      </c>
      <c r="G588" s="11" t="s">
        <v>5431</v>
      </c>
      <c r="H588" s="11"/>
      <c r="I588" s="11" t="s">
        <v>5432</v>
      </c>
      <c r="J588" s="11"/>
      <c r="K588" s="11" t="s">
        <v>5433</v>
      </c>
      <c r="L588" s="13"/>
    </row>
    <row r="589" spans="1:12" ht="18" customHeight="1" x14ac:dyDescent="0.25">
      <c r="A589" s="12"/>
      <c r="B589" s="11" t="s">
        <v>3190</v>
      </c>
      <c r="C589" s="11" t="str">
        <f>IFERROR(VLOOKUP(B589,[1]customers!$A:$B,2,0),"")</f>
        <v/>
      </c>
      <c r="D589" s="11" t="s">
        <v>3191</v>
      </c>
      <c r="E589" s="11" t="str" cm="1">
        <f t="array" ref="E589">IF(Table15[[#This Row],[Scott Correction]]="",Table15[[#This Row],[customer_id]],_xlfn.XLOOKUP(Table15[[#This Row],[Scott Correction]],[1]!Table2[[#All],[name]],[1]!Table2[[#All],[id]],"",0,1))</f>
        <v/>
      </c>
      <c r="F589" s="11" t="s">
        <v>5434</v>
      </c>
      <c r="G589" s="11" t="s">
        <v>5435</v>
      </c>
      <c r="H589" s="11"/>
      <c r="I589" s="11" t="s">
        <v>5436</v>
      </c>
      <c r="J589" s="11" t="s">
        <v>5437</v>
      </c>
      <c r="K589" s="11" t="s">
        <v>5438</v>
      </c>
      <c r="L589" s="13"/>
    </row>
    <row r="590" spans="1:12" ht="18" customHeight="1" x14ac:dyDescent="0.25">
      <c r="A590" s="12"/>
      <c r="B590" s="11" t="s">
        <v>3190</v>
      </c>
      <c r="C590" s="11" t="str">
        <f>IFERROR(VLOOKUP(B590,[1]customers!$A:$B,2,0),"")</f>
        <v/>
      </c>
      <c r="D590" s="11" t="s">
        <v>3191</v>
      </c>
      <c r="E590" s="11" t="str" cm="1">
        <f t="array" ref="E590">IF(Table15[[#This Row],[Scott Correction]]="",Table15[[#This Row],[customer_id]],_xlfn.XLOOKUP(Table15[[#This Row],[Scott Correction]],[1]!Table2[[#All],[name]],[1]!Table2[[#All],[id]],"",0,1))</f>
        <v/>
      </c>
      <c r="F590" s="11" t="s">
        <v>5439</v>
      </c>
      <c r="G590" s="11" t="s">
        <v>5440</v>
      </c>
      <c r="H590" s="11"/>
      <c r="I590" s="11"/>
      <c r="J590" s="11"/>
      <c r="K590" s="11"/>
      <c r="L590" s="13"/>
    </row>
    <row r="591" spans="1:12" ht="18" customHeight="1" x14ac:dyDescent="0.25">
      <c r="A591" s="12"/>
      <c r="B591" s="11" t="s">
        <v>3190</v>
      </c>
      <c r="C591" s="11" t="str">
        <f>IFERROR(VLOOKUP(B591,[1]customers!$A:$B,2,0),"")</f>
        <v/>
      </c>
      <c r="D591" s="11" t="s">
        <v>3191</v>
      </c>
      <c r="E591" s="11" t="str" cm="1">
        <f t="array" ref="E591">IF(Table15[[#This Row],[Scott Correction]]="",Table15[[#This Row],[customer_id]],_xlfn.XLOOKUP(Table15[[#This Row],[Scott Correction]],[1]!Table2[[#All],[name]],[1]!Table2[[#All],[id]],"",0,1))</f>
        <v/>
      </c>
      <c r="F591" s="11" t="s">
        <v>5441</v>
      </c>
      <c r="G591" s="11" t="s">
        <v>5442</v>
      </c>
      <c r="H591" s="11"/>
      <c r="I591" s="11" t="s">
        <v>5443</v>
      </c>
      <c r="J591" s="11"/>
      <c r="K591" s="11" t="s">
        <v>5444</v>
      </c>
      <c r="L591" s="13"/>
    </row>
    <row r="592" spans="1:12" ht="18" customHeight="1" x14ac:dyDescent="0.25">
      <c r="A592" s="12"/>
      <c r="B592" s="11" t="s">
        <v>3190</v>
      </c>
      <c r="C592" s="11" t="str">
        <f>IFERROR(VLOOKUP(B592,[1]customers!$A:$B,2,0),"")</f>
        <v/>
      </c>
      <c r="D592" s="11" t="s">
        <v>3191</v>
      </c>
      <c r="E592" s="11" t="str" cm="1">
        <f t="array" ref="E592">IF(Table15[[#This Row],[Scott Correction]]="",Table15[[#This Row],[customer_id]],_xlfn.XLOOKUP(Table15[[#This Row],[Scott Correction]],[1]!Table2[[#All],[name]],[1]!Table2[[#All],[id]],"",0,1))</f>
        <v/>
      </c>
      <c r="F592" s="11" t="s">
        <v>5445</v>
      </c>
      <c r="G592" s="11" t="s">
        <v>5446</v>
      </c>
      <c r="H592" s="11"/>
      <c r="I592" s="11" t="s">
        <v>5447</v>
      </c>
      <c r="J592" s="11" t="s">
        <v>5448</v>
      </c>
      <c r="K592" s="11"/>
      <c r="L592" s="13"/>
    </row>
    <row r="593" spans="1:12" ht="18" customHeight="1" x14ac:dyDescent="0.25">
      <c r="A593" s="8"/>
      <c r="B593" s="9">
        <v>710</v>
      </c>
      <c r="C593" s="6" t="str">
        <f>IFERROR(VLOOKUP(B593,[1]customers!$A:$B,2,0),"")</f>
        <v>Vexor Technology</v>
      </c>
      <c r="D593" s="6" t="s">
        <v>3191</v>
      </c>
      <c r="E593" s="6" t="str" cm="1">
        <f t="array" ref="E593">IF(Table15[[#This Row],[Scott Correction]]="",Table15[[#This Row],[customer_id]],_xlfn.XLOOKUP(Table15[[#This Row],[Scott Correction]],[1]!Table2[[#All],[name]],[1]!Table2[[#All],[id]],"",0,1))</f>
        <v/>
      </c>
      <c r="F593" s="9" t="s">
        <v>5449</v>
      </c>
      <c r="G593" s="9" t="s">
        <v>5450</v>
      </c>
      <c r="H593" s="9"/>
      <c r="I593" s="9"/>
      <c r="J593" s="9" t="s">
        <v>5451</v>
      </c>
      <c r="K593" s="9" t="s">
        <v>5452</v>
      </c>
      <c r="L593" s="10"/>
    </row>
    <row r="594" spans="1:12" ht="18" customHeight="1" x14ac:dyDescent="0.25">
      <c r="A594" s="12"/>
      <c r="B594" s="11" t="s">
        <v>3190</v>
      </c>
      <c r="C594" s="11" t="str">
        <f>IFERROR(VLOOKUP(B594,[1]customers!$A:$B,2,0),"")</f>
        <v/>
      </c>
      <c r="D594" s="11" t="s">
        <v>3191</v>
      </c>
      <c r="E594" s="11" t="str" cm="1">
        <f t="array" ref="E594">IF(Table15[[#This Row],[Scott Correction]]="",Table15[[#This Row],[customer_id]],_xlfn.XLOOKUP(Table15[[#This Row],[Scott Correction]],[1]!Table2[[#All],[name]],[1]!Table2[[#All],[id]],"",0,1))</f>
        <v/>
      </c>
      <c r="F594" s="11" t="s">
        <v>5453</v>
      </c>
      <c r="G594" s="11" t="s">
        <v>5454</v>
      </c>
      <c r="H594" s="11"/>
      <c r="I594" s="11" t="s">
        <v>5455</v>
      </c>
      <c r="J594" s="11"/>
      <c r="K594" s="11" t="s">
        <v>5456</v>
      </c>
      <c r="L594" s="13"/>
    </row>
    <row r="595" spans="1:12" ht="18" customHeight="1" x14ac:dyDescent="0.25">
      <c r="A595" s="8"/>
      <c r="B595" s="9">
        <v>374</v>
      </c>
      <c r="C595" s="6" t="str">
        <f>IFERROR(VLOOKUP(B595,[1]customers!$A:$B,2,0),"")</f>
        <v>Kent Corporation</v>
      </c>
      <c r="D595" s="6" t="s">
        <v>3191</v>
      </c>
      <c r="E595" s="6" t="str" cm="1">
        <f t="array" ref="E595">IF(Table15[[#This Row],[Scott Correction]]="",Table15[[#This Row],[customer_id]],_xlfn.XLOOKUP(Table15[[#This Row],[Scott Correction]],[1]!Table2[[#All],[name]],[1]!Table2[[#All],[id]],"",0,1))</f>
        <v/>
      </c>
      <c r="F595" s="9" t="s">
        <v>5457</v>
      </c>
      <c r="G595" s="9" t="s">
        <v>5458</v>
      </c>
      <c r="H595" s="9"/>
      <c r="I595" s="9" t="s">
        <v>5459</v>
      </c>
      <c r="J595" s="9"/>
      <c r="K595" s="9" t="s">
        <v>5460</v>
      </c>
      <c r="L595" s="10"/>
    </row>
    <row r="596" spans="1:12" ht="18" customHeight="1" x14ac:dyDescent="0.25">
      <c r="A596" s="4"/>
      <c r="B596" s="5">
        <v>374</v>
      </c>
      <c r="C596" s="6" t="str">
        <f>IFERROR(VLOOKUP(B596,[1]customers!$A:$B,2,0),"")</f>
        <v>Kent Corporation</v>
      </c>
      <c r="D596" s="6" t="s">
        <v>3191</v>
      </c>
      <c r="E596" s="6" t="str" cm="1">
        <f t="array" ref="E596">IF(Table15[[#This Row],[Scott Correction]]="",Table15[[#This Row],[customer_id]],_xlfn.XLOOKUP(Table15[[#This Row],[Scott Correction]],[1]!Table2[[#All],[name]],[1]!Table2[[#All],[id]],"",0,1))</f>
        <v/>
      </c>
      <c r="F596" s="5" t="s">
        <v>5457</v>
      </c>
      <c r="G596" s="5" t="s">
        <v>5461</v>
      </c>
      <c r="H596" s="5"/>
      <c r="I596" s="5" t="s">
        <v>5462</v>
      </c>
      <c r="J596" s="5"/>
      <c r="K596" s="5" t="s">
        <v>5463</v>
      </c>
      <c r="L596" s="7"/>
    </row>
    <row r="597" spans="1:12" ht="18" customHeight="1" x14ac:dyDescent="0.25">
      <c r="A597" s="12"/>
      <c r="B597" s="11" t="s">
        <v>3190</v>
      </c>
      <c r="C597" s="11" t="str">
        <f>IFERROR(VLOOKUP(B597,[1]customers!$A:$B,2,0),"")</f>
        <v/>
      </c>
      <c r="D597" s="11" t="s">
        <v>3191</v>
      </c>
      <c r="E597" s="11" t="str" cm="1">
        <f t="array" ref="E597">IF(Table15[[#This Row],[Scott Correction]]="",Table15[[#This Row],[customer_id]],_xlfn.XLOOKUP(Table15[[#This Row],[Scott Correction]],[1]!Table2[[#All],[name]],[1]!Table2[[#All],[id]],"",0,1))</f>
        <v/>
      </c>
      <c r="F597" s="11" t="s">
        <v>5464</v>
      </c>
      <c r="G597" s="11" t="s">
        <v>5465</v>
      </c>
      <c r="H597" s="11"/>
      <c r="I597" s="11" t="s">
        <v>569</v>
      </c>
      <c r="J597" s="11"/>
      <c r="K597" s="11" t="s">
        <v>5466</v>
      </c>
      <c r="L597" s="13"/>
    </row>
    <row r="598" spans="1:12" ht="18" customHeight="1" x14ac:dyDescent="0.25">
      <c r="A598" s="12"/>
      <c r="B598" s="11" t="s">
        <v>3190</v>
      </c>
      <c r="C598" s="11" t="str">
        <f>IFERROR(VLOOKUP(B598,[1]customers!$A:$B,2,0),"")</f>
        <v/>
      </c>
      <c r="D598" s="11" t="s">
        <v>3191</v>
      </c>
      <c r="E598" s="11" t="str" cm="1">
        <f t="array" ref="E598">IF(Table15[[#This Row],[Scott Correction]]="",Table15[[#This Row],[customer_id]],_xlfn.XLOOKUP(Table15[[#This Row],[Scott Correction]],[1]!Table2[[#All],[name]],[1]!Table2[[#All],[id]],"",0,1))</f>
        <v/>
      </c>
      <c r="F598" s="11" t="s">
        <v>5467</v>
      </c>
      <c r="G598" s="11" t="s">
        <v>5468</v>
      </c>
      <c r="H598" s="11"/>
      <c r="I598" s="11" t="s">
        <v>5469</v>
      </c>
      <c r="J598" s="11"/>
      <c r="K598" s="11" t="s">
        <v>5470</v>
      </c>
      <c r="L598" s="13"/>
    </row>
    <row r="599" spans="1:12" ht="18" customHeight="1" x14ac:dyDescent="0.25">
      <c r="A599" s="12"/>
      <c r="B599" s="11" t="s">
        <v>3190</v>
      </c>
      <c r="C599" s="11" t="str">
        <f>IFERROR(VLOOKUP(B599,[1]customers!$A:$B,2,0),"")</f>
        <v/>
      </c>
      <c r="D599" s="11" t="s">
        <v>3191</v>
      </c>
      <c r="E599" s="11" t="str" cm="1">
        <f t="array" ref="E599">IF(Table15[[#This Row],[Scott Correction]]="",Table15[[#This Row],[customer_id]],_xlfn.XLOOKUP(Table15[[#This Row],[Scott Correction]],[1]!Table2[[#All],[name]],[1]!Table2[[#All],[id]],"",0,1))</f>
        <v/>
      </c>
      <c r="F599" s="11"/>
      <c r="G599" s="11" t="s">
        <v>4883</v>
      </c>
      <c r="H599" s="11"/>
      <c r="I599" s="11" t="s">
        <v>4884</v>
      </c>
      <c r="J599" s="11"/>
      <c r="K599" s="11" t="s">
        <v>4886</v>
      </c>
      <c r="L599" s="13"/>
    </row>
    <row r="600" spans="1:12" ht="18" customHeight="1" x14ac:dyDescent="0.25">
      <c r="A600" s="12"/>
      <c r="B600" s="11" t="s">
        <v>3190</v>
      </c>
      <c r="C600" s="11" t="str">
        <f>IFERROR(VLOOKUP(B600,[1]customers!$A:$B,2,0),"")</f>
        <v/>
      </c>
      <c r="D600" s="11" t="s">
        <v>3191</v>
      </c>
      <c r="E600" s="11" t="str" cm="1">
        <f t="array" ref="E600">IF(Table15[[#This Row],[Scott Correction]]="",Table15[[#This Row],[customer_id]],_xlfn.XLOOKUP(Table15[[#This Row],[Scott Correction]],[1]!Table2[[#All],[name]],[1]!Table2[[#All],[id]],"",0,1))</f>
        <v/>
      </c>
      <c r="F600" s="11"/>
      <c r="G600" s="11" t="s">
        <v>5471</v>
      </c>
      <c r="H600" s="11"/>
      <c r="I600" s="11" t="s">
        <v>5472</v>
      </c>
      <c r="J600" s="11"/>
      <c r="K600" s="11"/>
      <c r="L600" s="13"/>
    </row>
    <row r="601" spans="1:12" ht="18" customHeight="1" x14ac:dyDescent="0.25">
      <c r="A601" s="12"/>
      <c r="B601" s="11" t="s">
        <v>3190</v>
      </c>
      <c r="C601" s="11" t="str">
        <f>IFERROR(VLOOKUP(B601,[1]customers!$A:$B,2,0),"")</f>
        <v/>
      </c>
      <c r="D601" s="11" t="s">
        <v>3191</v>
      </c>
      <c r="E601" s="11" t="str" cm="1">
        <f t="array" ref="E601">IF(Table15[[#This Row],[Scott Correction]]="",Table15[[#This Row],[customer_id]],_xlfn.XLOOKUP(Table15[[#This Row],[Scott Correction]],[1]!Table2[[#All],[name]],[1]!Table2[[#All],[id]],"",0,1))</f>
        <v/>
      </c>
      <c r="F601" s="11"/>
      <c r="G601" s="11" t="s">
        <v>40</v>
      </c>
      <c r="H601" s="11"/>
      <c r="I601" s="11" t="s">
        <v>41</v>
      </c>
      <c r="J601" s="11" t="s">
        <v>5473</v>
      </c>
      <c r="K601" s="11"/>
      <c r="L601" s="13"/>
    </row>
    <row r="602" spans="1:12" ht="18" customHeight="1" x14ac:dyDescent="0.25">
      <c r="A602" s="12"/>
      <c r="B602" s="11" t="s">
        <v>3190</v>
      </c>
      <c r="C602" s="11" t="str">
        <f>IFERROR(VLOOKUP(B602,[1]customers!$A:$B,2,0),"")</f>
        <v/>
      </c>
      <c r="D602" s="11" t="s">
        <v>3191</v>
      </c>
      <c r="E602" s="11" t="str" cm="1">
        <f t="array" ref="E602">IF(Table15[[#This Row],[Scott Correction]]="",Table15[[#This Row],[customer_id]],_xlfn.XLOOKUP(Table15[[#This Row],[Scott Correction]],[1]!Table2[[#All],[name]],[1]!Table2[[#All],[id]],"",0,1))</f>
        <v/>
      </c>
      <c r="F602" s="11"/>
      <c r="G602" s="11" t="s">
        <v>5474</v>
      </c>
      <c r="H602" s="11"/>
      <c r="I602" s="11" t="s">
        <v>5475</v>
      </c>
      <c r="J602" s="11"/>
      <c r="K602" s="11" t="s">
        <v>5476</v>
      </c>
      <c r="L602" s="13"/>
    </row>
    <row r="603" spans="1:12" ht="18" customHeight="1" x14ac:dyDescent="0.25">
      <c r="A603" s="12"/>
      <c r="B603" s="11" t="s">
        <v>3190</v>
      </c>
      <c r="C603" s="11" t="str">
        <f>IFERROR(VLOOKUP(B603,[1]customers!$A:$B,2,0),"")</f>
        <v/>
      </c>
      <c r="D603" s="11" t="s">
        <v>3191</v>
      </c>
      <c r="E603" s="11" t="str" cm="1">
        <f t="array" ref="E603">IF(Table15[[#This Row],[Scott Correction]]="",Table15[[#This Row],[customer_id]],_xlfn.XLOOKUP(Table15[[#This Row],[Scott Correction]],[1]!Table2[[#All],[name]],[1]!Table2[[#All],[id]],"",0,1))</f>
        <v/>
      </c>
      <c r="F603" s="11"/>
      <c r="G603" s="11" t="s">
        <v>5477</v>
      </c>
      <c r="H603" s="11"/>
      <c r="I603" s="11" t="s">
        <v>5478</v>
      </c>
      <c r="J603" s="11"/>
      <c r="K603" s="11" t="s">
        <v>5479</v>
      </c>
      <c r="L603" s="13"/>
    </row>
    <row r="604" spans="1:12" ht="18" customHeight="1" x14ac:dyDescent="0.25">
      <c r="A604" s="12"/>
      <c r="B604" s="11" t="s">
        <v>3190</v>
      </c>
      <c r="C604" s="11" t="str">
        <f>IFERROR(VLOOKUP(B604,[1]customers!$A:$B,2,0),"")</f>
        <v/>
      </c>
      <c r="D604" s="11" t="s">
        <v>3191</v>
      </c>
      <c r="E604" s="11" t="str" cm="1">
        <f t="array" ref="E604">IF(Table15[[#This Row],[Scott Correction]]="",Table15[[#This Row],[customer_id]],_xlfn.XLOOKUP(Table15[[#This Row],[Scott Correction]],[1]!Table2[[#All],[name]],[1]!Table2[[#All],[id]],"",0,1))</f>
        <v/>
      </c>
      <c r="F604" s="11"/>
      <c r="G604" s="11" t="s">
        <v>5480</v>
      </c>
      <c r="H604" s="11"/>
      <c r="I604" s="11"/>
      <c r="J604" s="11" t="s">
        <v>5481</v>
      </c>
      <c r="K604" s="11"/>
      <c r="L604" s="13"/>
    </row>
    <row r="605" spans="1:12" ht="18" customHeight="1" x14ac:dyDescent="0.25">
      <c r="A605" s="12"/>
      <c r="B605" s="11" t="s">
        <v>3190</v>
      </c>
      <c r="C605" s="11" t="str">
        <f>IFERROR(VLOOKUP(B605,[1]customers!$A:$B,2,0),"")</f>
        <v/>
      </c>
      <c r="D605" s="11" t="s">
        <v>3191</v>
      </c>
      <c r="E605" s="11" t="str" cm="1">
        <f t="array" ref="E605">IF(Table15[[#This Row],[Scott Correction]]="",Table15[[#This Row],[customer_id]],_xlfn.XLOOKUP(Table15[[#This Row],[Scott Correction]],[1]!Table2[[#All],[name]],[1]!Table2[[#All],[id]],"",0,1))</f>
        <v/>
      </c>
      <c r="F605" s="11"/>
      <c r="G605" s="11" t="s">
        <v>5482</v>
      </c>
      <c r="H605" s="11"/>
      <c r="I605" s="11" t="s">
        <v>5483</v>
      </c>
      <c r="J605" s="11" t="s">
        <v>5484</v>
      </c>
      <c r="K605" s="11" t="s">
        <v>5485</v>
      </c>
      <c r="L605" s="13"/>
    </row>
    <row r="606" spans="1:12" ht="18" customHeight="1" x14ac:dyDescent="0.25">
      <c r="A606" s="12"/>
      <c r="B606" s="11" t="s">
        <v>3190</v>
      </c>
      <c r="C606" s="11" t="str">
        <f>IFERROR(VLOOKUP(B606,[1]customers!$A:$B,2,0),"")</f>
        <v/>
      </c>
      <c r="D606" s="11" t="s">
        <v>3191</v>
      </c>
      <c r="E606" s="11" t="str" cm="1">
        <f t="array" ref="E606">IF(Table15[[#This Row],[Scott Correction]]="",Table15[[#This Row],[customer_id]],_xlfn.XLOOKUP(Table15[[#This Row],[Scott Correction]],[1]!Table2[[#All],[name]],[1]!Table2[[#All],[id]],"",0,1))</f>
        <v/>
      </c>
      <c r="F606" s="11"/>
      <c r="G606" s="11" t="s">
        <v>5486</v>
      </c>
      <c r="H606" s="11"/>
      <c r="I606" s="11" t="s">
        <v>5487</v>
      </c>
      <c r="J606" s="11" t="s">
        <v>5488</v>
      </c>
      <c r="K606" s="11"/>
      <c r="L606" s="13"/>
    </row>
    <row r="607" spans="1:12" ht="18" customHeight="1" x14ac:dyDescent="0.25">
      <c r="A607" s="12"/>
      <c r="B607" s="11" t="s">
        <v>3190</v>
      </c>
      <c r="C607" s="11" t="str">
        <f>IFERROR(VLOOKUP(B607,[1]customers!$A:$B,2,0),"")</f>
        <v/>
      </c>
      <c r="D607" s="11" t="s">
        <v>3191</v>
      </c>
      <c r="E607" s="11" t="str" cm="1">
        <f t="array" ref="E607">IF(Table15[[#This Row],[Scott Correction]]="",Table15[[#This Row],[customer_id]],_xlfn.XLOOKUP(Table15[[#This Row],[Scott Correction]],[1]!Table2[[#All],[name]],[1]!Table2[[#All],[id]],"",0,1))</f>
        <v/>
      </c>
      <c r="F607" s="11"/>
      <c r="G607" s="11" t="s">
        <v>5489</v>
      </c>
      <c r="H607" s="11"/>
      <c r="I607" s="11" t="s">
        <v>5490</v>
      </c>
      <c r="J607" s="11"/>
      <c r="K607" s="11" t="s">
        <v>5491</v>
      </c>
      <c r="L607" s="13"/>
    </row>
    <row r="608" spans="1:12" ht="18" customHeight="1" x14ac:dyDescent="0.25">
      <c r="A608" s="12"/>
      <c r="B608" s="11" t="s">
        <v>3190</v>
      </c>
      <c r="C608" s="11" t="str">
        <f>IFERROR(VLOOKUP(B608,[1]customers!$A:$B,2,0),"")</f>
        <v/>
      </c>
      <c r="D608" s="11" t="s">
        <v>3191</v>
      </c>
      <c r="E608" s="11" t="str" cm="1">
        <f t="array" ref="E608">IF(Table15[[#This Row],[Scott Correction]]="",Table15[[#This Row],[customer_id]],_xlfn.XLOOKUP(Table15[[#This Row],[Scott Correction]],[1]!Table2[[#All],[name]],[1]!Table2[[#All],[id]],"",0,1))</f>
        <v/>
      </c>
      <c r="F608" s="11"/>
      <c r="G608" s="11" t="s">
        <v>5492</v>
      </c>
      <c r="H608" s="11"/>
      <c r="I608" s="11" t="s">
        <v>5493</v>
      </c>
      <c r="J608" s="11" t="s">
        <v>5494</v>
      </c>
      <c r="K608" s="11"/>
      <c r="L608" s="13"/>
    </row>
    <row r="609" spans="1:12" ht="18" customHeight="1" x14ac:dyDescent="0.25">
      <c r="A609" s="12"/>
      <c r="B609" s="11" t="s">
        <v>3190</v>
      </c>
      <c r="C609" s="11" t="str">
        <f>IFERROR(VLOOKUP(B609,[1]customers!$A:$B,2,0),"")</f>
        <v/>
      </c>
      <c r="D609" s="11" t="s">
        <v>3191</v>
      </c>
      <c r="E609" s="11" t="str" cm="1">
        <f t="array" ref="E609">IF(Table15[[#This Row],[Scott Correction]]="",Table15[[#This Row],[customer_id]],_xlfn.XLOOKUP(Table15[[#This Row],[Scott Correction]],[1]!Table2[[#All],[name]],[1]!Table2[[#All],[id]],"",0,1))</f>
        <v/>
      </c>
      <c r="F609" s="11"/>
      <c r="G609" s="11" t="s">
        <v>5495</v>
      </c>
      <c r="H609" s="11"/>
      <c r="I609" s="11" t="s">
        <v>5496</v>
      </c>
      <c r="J609" s="11" t="s">
        <v>5497</v>
      </c>
      <c r="K609" s="11" t="s">
        <v>5498</v>
      </c>
      <c r="L609" s="13"/>
    </row>
    <row r="610" spans="1:12" ht="18" customHeight="1" x14ac:dyDescent="0.25">
      <c r="A610" s="12"/>
      <c r="B610" s="11" t="s">
        <v>3190</v>
      </c>
      <c r="C610" s="11" t="str">
        <f>IFERROR(VLOOKUP(B610,[1]customers!$A:$B,2,0),"")</f>
        <v/>
      </c>
      <c r="D610" s="11" t="s">
        <v>3191</v>
      </c>
      <c r="E610" s="11" t="str" cm="1">
        <f t="array" ref="E610">IF(Table15[[#This Row],[Scott Correction]]="",Table15[[#This Row],[customer_id]],_xlfn.XLOOKUP(Table15[[#This Row],[Scott Correction]],[1]!Table2[[#All],[name]],[1]!Table2[[#All],[id]],"",0,1))</f>
        <v/>
      </c>
      <c r="F610" s="11"/>
      <c r="G610" s="11" t="s">
        <v>5499</v>
      </c>
      <c r="H610" s="11"/>
      <c r="I610" s="11"/>
      <c r="J610" s="11"/>
      <c r="K610" s="11"/>
      <c r="L610" s="13"/>
    </row>
    <row r="611" spans="1:12" ht="18" customHeight="1" x14ac:dyDescent="0.25">
      <c r="A611" s="12"/>
      <c r="B611" s="11" t="s">
        <v>3190</v>
      </c>
      <c r="C611" s="11" t="str">
        <f>IFERROR(VLOOKUP(B611,[1]customers!$A:$B,2,0),"")</f>
        <v/>
      </c>
      <c r="D611" s="11" t="s">
        <v>3191</v>
      </c>
      <c r="E611" s="11" t="str" cm="1">
        <f t="array" ref="E611">IF(Table15[[#This Row],[Scott Correction]]="",Table15[[#This Row],[customer_id]],_xlfn.XLOOKUP(Table15[[#This Row],[Scott Correction]],[1]!Table2[[#All],[name]],[1]!Table2[[#All],[id]],"",0,1))</f>
        <v/>
      </c>
      <c r="F611" s="11"/>
      <c r="G611" s="11" t="s">
        <v>5500</v>
      </c>
      <c r="H611" s="11"/>
      <c r="I611" s="11" t="s">
        <v>5501</v>
      </c>
      <c r="J611" s="11"/>
      <c r="K611" s="11" t="s">
        <v>5502</v>
      </c>
      <c r="L611" s="13"/>
    </row>
    <row r="612" spans="1:12" ht="18" customHeight="1" x14ac:dyDescent="0.25">
      <c r="A612" s="12"/>
      <c r="B612" s="11" t="s">
        <v>3190</v>
      </c>
      <c r="C612" s="11" t="str">
        <f>IFERROR(VLOOKUP(B612,[1]customers!$A:$B,2,0),"")</f>
        <v/>
      </c>
      <c r="D612" s="11" t="s">
        <v>3191</v>
      </c>
      <c r="E612" s="11" t="str" cm="1">
        <f t="array" ref="E612">IF(Table15[[#This Row],[Scott Correction]]="",Table15[[#This Row],[customer_id]],_xlfn.XLOOKUP(Table15[[#This Row],[Scott Correction]],[1]!Table2[[#All],[name]],[1]!Table2[[#All],[id]],"",0,1))</f>
        <v/>
      </c>
      <c r="F612" s="11"/>
      <c r="G612" s="11" t="s">
        <v>5503</v>
      </c>
      <c r="H612" s="11"/>
      <c r="I612" s="11" t="s">
        <v>5504</v>
      </c>
      <c r="J612" s="11" t="s">
        <v>5505</v>
      </c>
      <c r="K612" s="11"/>
      <c r="L612" s="13"/>
    </row>
    <row r="613" spans="1:12" ht="18" customHeight="1" x14ac:dyDescent="0.25">
      <c r="A613" s="12"/>
      <c r="B613" s="11" t="s">
        <v>3190</v>
      </c>
      <c r="C613" s="11" t="str">
        <f>IFERROR(VLOOKUP(B613,[1]customers!$A:$B,2,0),"")</f>
        <v/>
      </c>
      <c r="D613" s="11" t="s">
        <v>3191</v>
      </c>
      <c r="E613" s="11" t="str" cm="1">
        <f t="array" ref="E613">IF(Table15[[#This Row],[Scott Correction]]="",Table15[[#This Row],[customer_id]],_xlfn.XLOOKUP(Table15[[#This Row],[Scott Correction]],[1]!Table2[[#All],[name]],[1]!Table2[[#All],[id]],"",0,1))</f>
        <v/>
      </c>
      <c r="F613" s="11"/>
      <c r="G613" s="11" t="s">
        <v>5506</v>
      </c>
      <c r="H613" s="11"/>
      <c r="I613" s="11" t="s">
        <v>5507</v>
      </c>
      <c r="J613" s="11" t="s">
        <v>5508</v>
      </c>
      <c r="K613" s="11"/>
      <c r="L613" s="13"/>
    </row>
    <row r="614" spans="1:12" ht="18" customHeight="1" x14ac:dyDescent="0.25">
      <c r="A614" s="12"/>
      <c r="B614" s="11" t="s">
        <v>3190</v>
      </c>
      <c r="C614" s="11" t="str">
        <f>IFERROR(VLOOKUP(B614,[1]customers!$A:$B,2,0),"")</f>
        <v/>
      </c>
      <c r="D614" s="11" t="s">
        <v>3191</v>
      </c>
      <c r="E614" s="11" t="str" cm="1">
        <f t="array" ref="E614">IF(Table15[[#This Row],[Scott Correction]]="",Table15[[#This Row],[customer_id]],_xlfn.XLOOKUP(Table15[[#This Row],[Scott Correction]],[1]!Table2[[#All],[name]],[1]!Table2[[#All],[id]],"",0,1))</f>
        <v/>
      </c>
      <c r="F614" s="11"/>
      <c r="G614" s="11" t="s">
        <v>5509</v>
      </c>
      <c r="H614" s="11"/>
      <c r="I614" s="11" t="s">
        <v>5510</v>
      </c>
      <c r="J614" s="11" t="s">
        <v>5511</v>
      </c>
      <c r="K614" s="11"/>
      <c r="L614" s="13"/>
    </row>
    <row r="615" spans="1:12" ht="18" customHeight="1" x14ac:dyDescent="0.25">
      <c r="A615" s="12"/>
      <c r="B615" s="11" t="s">
        <v>3190</v>
      </c>
      <c r="C615" s="11" t="str">
        <f>IFERROR(VLOOKUP(B615,[1]customers!$A:$B,2,0),"")</f>
        <v/>
      </c>
      <c r="D615" s="11" t="s">
        <v>3191</v>
      </c>
      <c r="E615" s="11" t="str" cm="1">
        <f t="array" ref="E615">IF(Table15[[#This Row],[Scott Correction]]="",Table15[[#This Row],[customer_id]],_xlfn.XLOOKUP(Table15[[#This Row],[Scott Correction]],[1]!Table2[[#All],[name]],[1]!Table2[[#All],[id]],"",0,1))</f>
        <v/>
      </c>
      <c r="F615" s="11"/>
      <c r="G615" s="11" t="s">
        <v>5512</v>
      </c>
      <c r="H615" s="11"/>
      <c r="I615" s="11" t="s">
        <v>5513</v>
      </c>
      <c r="J615" s="11"/>
      <c r="K615" s="11" t="s">
        <v>5514</v>
      </c>
      <c r="L615" s="13"/>
    </row>
    <row r="616" spans="1:12" ht="18" customHeight="1" x14ac:dyDescent="0.25">
      <c r="A616" s="12"/>
      <c r="B616" s="11" t="s">
        <v>3190</v>
      </c>
      <c r="C616" s="11" t="str">
        <f>IFERROR(VLOOKUP(B616,[1]customers!$A:$B,2,0),"")</f>
        <v/>
      </c>
      <c r="D616" s="11" t="s">
        <v>3191</v>
      </c>
      <c r="E616" s="11" t="str" cm="1">
        <f t="array" ref="E616">IF(Table15[[#This Row],[Scott Correction]]="",Table15[[#This Row],[customer_id]],_xlfn.XLOOKUP(Table15[[#This Row],[Scott Correction]],[1]!Table2[[#All],[name]],[1]!Table2[[#All],[id]],"",0,1))</f>
        <v/>
      </c>
      <c r="F616" s="11"/>
      <c r="G616" s="11" t="s">
        <v>5515</v>
      </c>
      <c r="H616" s="11"/>
      <c r="I616" s="11" t="s">
        <v>5516</v>
      </c>
      <c r="J616" s="11" t="s">
        <v>5517</v>
      </c>
      <c r="K616" s="11"/>
      <c r="L616" s="13"/>
    </row>
    <row r="617" spans="1:12" ht="18" customHeight="1" x14ac:dyDescent="0.25">
      <c r="A617" s="12"/>
      <c r="B617" s="11" t="s">
        <v>3190</v>
      </c>
      <c r="C617" s="11" t="str">
        <f>IFERROR(VLOOKUP(B617,[1]customers!$A:$B,2,0),"")</f>
        <v/>
      </c>
      <c r="D617" s="11" t="s">
        <v>3191</v>
      </c>
      <c r="E617" s="11" t="str" cm="1">
        <f t="array" ref="E617">IF(Table15[[#This Row],[Scott Correction]]="",Table15[[#This Row],[customer_id]],_xlfn.XLOOKUP(Table15[[#This Row],[Scott Correction]],[1]!Table2[[#All],[name]],[1]!Table2[[#All],[id]],"",0,1))</f>
        <v/>
      </c>
      <c r="F617" s="11"/>
      <c r="G617" s="11" t="s">
        <v>5518</v>
      </c>
      <c r="H617" s="11"/>
      <c r="I617" s="11" t="s">
        <v>5519</v>
      </c>
      <c r="J617" s="11" t="s">
        <v>5520</v>
      </c>
      <c r="K617" s="11"/>
      <c r="L617" s="13"/>
    </row>
    <row r="618" spans="1:12" ht="18" customHeight="1" x14ac:dyDescent="0.25">
      <c r="A618" s="12"/>
      <c r="B618" s="11" t="s">
        <v>3190</v>
      </c>
      <c r="C618" s="11" t="str">
        <f>IFERROR(VLOOKUP(B618,[1]customers!$A:$B,2,0),"")</f>
        <v/>
      </c>
      <c r="D618" s="11" t="s">
        <v>3191</v>
      </c>
      <c r="E618" s="11" t="str" cm="1">
        <f t="array" ref="E618">IF(Table15[[#This Row],[Scott Correction]]="",Table15[[#This Row],[customer_id]],_xlfn.XLOOKUP(Table15[[#This Row],[Scott Correction]],[1]!Table2[[#All],[name]],[1]!Table2[[#All],[id]],"",0,1))</f>
        <v/>
      </c>
      <c r="F618" s="11"/>
      <c r="G618" s="11" t="s">
        <v>5521</v>
      </c>
      <c r="H618" s="11"/>
      <c r="I618" s="11" t="s">
        <v>1492</v>
      </c>
      <c r="J618" s="11"/>
      <c r="K618" s="11" t="s">
        <v>5522</v>
      </c>
      <c r="L618" s="13"/>
    </row>
    <row r="619" spans="1:12" ht="18" customHeight="1" x14ac:dyDescent="0.25">
      <c r="A619" s="12"/>
      <c r="B619" s="11" t="s">
        <v>3190</v>
      </c>
      <c r="C619" s="11" t="str">
        <f>IFERROR(VLOOKUP(B619,[1]customers!$A:$B,2,0),"")</f>
        <v/>
      </c>
      <c r="D619" s="11" t="s">
        <v>3191</v>
      </c>
      <c r="E619" s="11" t="str" cm="1">
        <f t="array" ref="E619">IF(Table15[[#This Row],[Scott Correction]]="",Table15[[#This Row],[customer_id]],_xlfn.XLOOKUP(Table15[[#This Row],[Scott Correction]],[1]!Table2[[#All],[name]],[1]!Table2[[#All],[id]],"",0,1))</f>
        <v/>
      </c>
      <c r="F619" s="11"/>
      <c r="G619" s="11" t="s">
        <v>5523</v>
      </c>
      <c r="H619" s="11"/>
      <c r="I619" s="11"/>
      <c r="J619" s="11"/>
      <c r="K619" s="11"/>
      <c r="L619" s="13"/>
    </row>
    <row r="620" spans="1:12" ht="18" customHeight="1" x14ac:dyDescent="0.25">
      <c r="A620" s="12"/>
      <c r="B620" s="11" t="s">
        <v>3190</v>
      </c>
      <c r="C620" s="11" t="str">
        <f>IFERROR(VLOOKUP(B620,[1]customers!$A:$B,2,0),"")</f>
        <v/>
      </c>
      <c r="D620" s="11" t="s">
        <v>3191</v>
      </c>
      <c r="E620" s="11" t="str" cm="1">
        <f t="array" ref="E620">IF(Table15[[#This Row],[Scott Correction]]="",Table15[[#This Row],[customer_id]],_xlfn.XLOOKUP(Table15[[#This Row],[Scott Correction]],[1]!Table2[[#All],[name]],[1]!Table2[[#All],[id]],"",0,1))</f>
        <v/>
      </c>
      <c r="F620" s="11"/>
      <c r="G620" s="11" t="s">
        <v>5524</v>
      </c>
      <c r="H620" s="11"/>
      <c r="I620" s="11" t="s">
        <v>5525</v>
      </c>
      <c r="J620" s="11" t="s">
        <v>5526</v>
      </c>
      <c r="K620" s="11" t="s">
        <v>5527</v>
      </c>
      <c r="L620" s="13"/>
    </row>
    <row r="621" spans="1:12" ht="18" customHeight="1" x14ac:dyDescent="0.25">
      <c r="A621" s="12"/>
      <c r="B621" s="11" t="s">
        <v>3190</v>
      </c>
      <c r="C621" s="11" t="str">
        <f>IFERROR(VLOOKUP(B621,[1]customers!$A:$B,2,0),"")</f>
        <v/>
      </c>
      <c r="D621" s="11" t="s">
        <v>3191</v>
      </c>
      <c r="E621" s="11" t="str" cm="1">
        <f t="array" ref="E621">IF(Table15[[#This Row],[Scott Correction]]="",Table15[[#This Row],[customer_id]],_xlfn.XLOOKUP(Table15[[#This Row],[Scott Correction]],[1]!Table2[[#All],[name]],[1]!Table2[[#All],[id]],"",0,1))</f>
        <v/>
      </c>
      <c r="F621" s="11"/>
      <c r="G621" s="11" t="s">
        <v>5528</v>
      </c>
      <c r="H621" s="11"/>
      <c r="I621" s="11"/>
      <c r="J621" s="11" t="s">
        <v>5529</v>
      </c>
      <c r="K621" s="11"/>
      <c r="L621" s="13"/>
    </row>
    <row r="622" spans="1:12" ht="18" customHeight="1" x14ac:dyDescent="0.25">
      <c r="A622" s="12"/>
      <c r="B622" s="11" t="s">
        <v>3190</v>
      </c>
      <c r="C622" s="11" t="str">
        <f>IFERROR(VLOOKUP(B622,[1]customers!$A:$B,2,0),"")</f>
        <v/>
      </c>
      <c r="D622" s="11" t="s">
        <v>3191</v>
      </c>
      <c r="E622" s="11" t="str" cm="1">
        <f t="array" ref="E622">IF(Table15[[#This Row],[Scott Correction]]="",Table15[[#This Row],[customer_id]],_xlfn.XLOOKUP(Table15[[#This Row],[Scott Correction]],[1]!Table2[[#All],[name]],[1]!Table2[[#All],[id]],"",0,1))</f>
        <v/>
      </c>
      <c r="F622" s="11"/>
      <c r="G622" s="11" t="s">
        <v>5530</v>
      </c>
      <c r="H622" s="11"/>
      <c r="I622" s="11" t="s">
        <v>5531</v>
      </c>
      <c r="J622" s="11" t="s">
        <v>5532</v>
      </c>
      <c r="K622" s="11" t="s">
        <v>5533</v>
      </c>
      <c r="L622" s="13"/>
    </row>
    <row r="623" spans="1:12" ht="18" customHeight="1" x14ac:dyDescent="0.25">
      <c r="A623" s="12"/>
      <c r="B623" s="11" t="s">
        <v>3190</v>
      </c>
      <c r="C623" s="11" t="str">
        <f>IFERROR(VLOOKUP(B623,[1]customers!$A:$B,2,0),"")</f>
        <v/>
      </c>
      <c r="D623" s="11" t="s">
        <v>3191</v>
      </c>
      <c r="E623" s="11" t="str" cm="1">
        <f t="array" ref="E623">IF(Table15[[#This Row],[Scott Correction]]="",Table15[[#This Row],[customer_id]],_xlfn.XLOOKUP(Table15[[#This Row],[Scott Correction]],[1]!Table2[[#All],[name]],[1]!Table2[[#All],[id]],"",0,1))</f>
        <v/>
      </c>
      <c r="F623" s="11"/>
      <c r="G623" s="11" t="s">
        <v>5534</v>
      </c>
      <c r="H623" s="11"/>
      <c r="I623" s="11" t="s">
        <v>5535</v>
      </c>
      <c r="J623" s="11" t="s">
        <v>5536</v>
      </c>
      <c r="K623" s="11" t="s">
        <v>5537</v>
      </c>
      <c r="L623" s="13"/>
    </row>
    <row r="624" spans="1:12" ht="18" customHeight="1" x14ac:dyDescent="0.25">
      <c r="A624" s="12"/>
      <c r="B624" s="11" t="s">
        <v>3190</v>
      </c>
      <c r="C624" s="11" t="str">
        <f>IFERROR(VLOOKUP(B624,[1]customers!$A:$B,2,0),"")</f>
        <v/>
      </c>
      <c r="D624" s="11" t="s">
        <v>3191</v>
      </c>
      <c r="E624" s="11" t="str" cm="1">
        <f t="array" ref="E624">IF(Table15[[#This Row],[Scott Correction]]="",Table15[[#This Row],[customer_id]],_xlfn.XLOOKUP(Table15[[#This Row],[Scott Correction]],[1]!Table2[[#All],[name]],[1]!Table2[[#All],[id]],"",0,1))</f>
        <v/>
      </c>
      <c r="F624" s="11"/>
      <c r="G624" s="11" t="s">
        <v>5538</v>
      </c>
      <c r="H624" s="11"/>
      <c r="I624" s="11" t="s">
        <v>5539</v>
      </c>
      <c r="J624" s="11"/>
      <c r="K624" s="11"/>
      <c r="L624" s="13"/>
    </row>
    <row r="625" spans="1:12" ht="18" customHeight="1" x14ac:dyDescent="0.25">
      <c r="A625" s="12"/>
      <c r="B625" s="11" t="s">
        <v>3190</v>
      </c>
      <c r="C625" s="11" t="str">
        <f>IFERROR(VLOOKUP(B625,[1]customers!$A:$B,2,0),"")</f>
        <v/>
      </c>
      <c r="D625" s="11" t="s">
        <v>3191</v>
      </c>
      <c r="E625" s="11" t="str" cm="1">
        <f t="array" ref="E625">IF(Table15[[#This Row],[Scott Correction]]="",Table15[[#This Row],[customer_id]],_xlfn.XLOOKUP(Table15[[#This Row],[Scott Correction]],[1]!Table2[[#All],[name]],[1]!Table2[[#All],[id]],"",0,1))</f>
        <v/>
      </c>
      <c r="F625" s="11"/>
      <c r="G625" s="11" t="s">
        <v>5540</v>
      </c>
      <c r="H625" s="11"/>
      <c r="I625" s="11" t="s">
        <v>5541</v>
      </c>
      <c r="J625" s="11"/>
      <c r="K625" s="11"/>
      <c r="L625" s="13"/>
    </row>
    <row r="626" spans="1:12" ht="18" customHeight="1" x14ac:dyDescent="0.25">
      <c r="A626" s="12"/>
      <c r="B626" s="11" t="s">
        <v>3190</v>
      </c>
      <c r="C626" s="11" t="str">
        <f>IFERROR(VLOOKUP(B626,[1]customers!$A:$B,2,0),"")</f>
        <v/>
      </c>
      <c r="D626" s="11" t="s">
        <v>3191</v>
      </c>
      <c r="E626" s="11" t="str" cm="1">
        <f t="array" ref="E626">IF(Table15[[#This Row],[Scott Correction]]="",Table15[[#This Row],[customer_id]],_xlfn.XLOOKUP(Table15[[#This Row],[Scott Correction]],[1]!Table2[[#All],[name]],[1]!Table2[[#All],[id]],"",0,1))</f>
        <v/>
      </c>
      <c r="F626" s="11"/>
      <c r="G626" s="11" t="s">
        <v>5542</v>
      </c>
      <c r="H626" s="11"/>
      <c r="I626" s="11" t="s">
        <v>5543</v>
      </c>
      <c r="J626" s="11"/>
      <c r="K626" s="11"/>
      <c r="L626" s="13"/>
    </row>
    <row r="627" spans="1:12" ht="18" customHeight="1" x14ac:dyDescent="0.25">
      <c r="A627" s="12"/>
      <c r="B627" s="11" t="s">
        <v>3190</v>
      </c>
      <c r="C627" s="11" t="str">
        <f>IFERROR(VLOOKUP(B627,[1]customers!$A:$B,2,0),"")</f>
        <v/>
      </c>
      <c r="D627" s="11" t="s">
        <v>3191</v>
      </c>
      <c r="E627" s="11" t="str" cm="1">
        <f t="array" ref="E627">IF(Table15[[#This Row],[Scott Correction]]="",Table15[[#This Row],[customer_id]],_xlfn.XLOOKUP(Table15[[#This Row],[Scott Correction]],[1]!Table2[[#All],[name]],[1]!Table2[[#All],[id]],"",0,1))</f>
        <v/>
      </c>
      <c r="F627" s="11"/>
      <c r="G627" s="11" t="s">
        <v>5544</v>
      </c>
      <c r="H627" s="11"/>
      <c r="I627" s="11" t="s">
        <v>5545</v>
      </c>
      <c r="J627" s="11"/>
      <c r="K627" s="11" t="s">
        <v>5546</v>
      </c>
      <c r="L627" s="13"/>
    </row>
    <row r="628" spans="1:12" ht="18" customHeight="1" x14ac:dyDescent="0.25">
      <c r="A628" s="12"/>
      <c r="B628" s="11" t="s">
        <v>3190</v>
      </c>
      <c r="C628" s="11" t="str">
        <f>IFERROR(VLOOKUP(B628,[1]customers!$A:$B,2,0),"")</f>
        <v/>
      </c>
      <c r="D628" s="11" t="s">
        <v>3191</v>
      </c>
      <c r="E628" s="11" t="str" cm="1">
        <f t="array" ref="E628">IF(Table15[[#This Row],[Scott Correction]]="",Table15[[#This Row],[customer_id]],_xlfn.XLOOKUP(Table15[[#This Row],[Scott Correction]],[1]!Table2[[#All],[name]],[1]!Table2[[#All],[id]],"",0,1))</f>
        <v/>
      </c>
      <c r="F628" s="11"/>
      <c r="G628" s="11" t="s">
        <v>5547</v>
      </c>
      <c r="H628" s="11"/>
      <c r="I628" s="11" t="s">
        <v>5548</v>
      </c>
      <c r="J628" s="11" t="s">
        <v>5549</v>
      </c>
      <c r="K628" s="11"/>
      <c r="L628" s="13"/>
    </row>
    <row r="629" spans="1:12" ht="18" customHeight="1" x14ac:dyDescent="0.25">
      <c r="A629" s="12"/>
      <c r="B629" s="11" t="s">
        <v>3190</v>
      </c>
      <c r="C629" s="11" t="str">
        <f>IFERROR(VLOOKUP(B629,[1]customers!$A:$B,2,0),"")</f>
        <v/>
      </c>
      <c r="D629" s="11" t="s">
        <v>3191</v>
      </c>
      <c r="E629" s="11" t="str" cm="1">
        <f t="array" ref="E629">IF(Table15[[#This Row],[Scott Correction]]="",Table15[[#This Row],[customer_id]],_xlfn.XLOOKUP(Table15[[#This Row],[Scott Correction]],[1]!Table2[[#All],[name]],[1]!Table2[[#All],[id]],"",0,1))</f>
        <v/>
      </c>
      <c r="F629" s="11"/>
      <c r="G629" s="11" t="s">
        <v>5550</v>
      </c>
      <c r="H629" s="11"/>
      <c r="I629" s="11" t="s">
        <v>5551</v>
      </c>
      <c r="J629" s="11"/>
      <c r="K629" s="11"/>
      <c r="L629" s="13"/>
    </row>
    <row r="630" spans="1:12" ht="18" customHeight="1" x14ac:dyDescent="0.25">
      <c r="A630" s="12"/>
      <c r="B630" s="11" t="s">
        <v>3190</v>
      </c>
      <c r="C630" s="11" t="str">
        <f>IFERROR(VLOOKUP(B630,[1]customers!$A:$B,2,0),"")</f>
        <v/>
      </c>
      <c r="D630" s="11" t="s">
        <v>3191</v>
      </c>
      <c r="E630" s="11" t="str" cm="1">
        <f t="array" ref="E630">IF(Table15[[#This Row],[Scott Correction]]="",Table15[[#This Row],[customer_id]],_xlfn.XLOOKUP(Table15[[#This Row],[Scott Correction]],[1]!Table2[[#All],[name]],[1]!Table2[[#All],[id]],"",0,1))</f>
        <v/>
      </c>
      <c r="F630" s="11"/>
      <c r="G630" s="11" t="s">
        <v>5552</v>
      </c>
      <c r="H630" s="11"/>
      <c r="I630" s="11" t="s">
        <v>5553</v>
      </c>
      <c r="J630" s="11" t="s">
        <v>5554</v>
      </c>
      <c r="K630" s="11"/>
      <c r="L630" s="13"/>
    </row>
    <row r="631" spans="1:12" ht="18" customHeight="1" x14ac:dyDescent="0.25">
      <c r="A631" s="12"/>
      <c r="B631" s="11" t="s">
        <v>3190</v>
      </c>
      <c r="C631" s="11" t="str">
        <f>IFERROR(VLOOKUP(B631,[1]customers!$A:$B,2,0),"")</f>
        <v/>
      </c>
      <c r="D631" s="11" t="s">
        <v>3191</v>
      </c>
      <c r="E631" s="11" t="str" cm="1">
        <f t="array" ref="E631">IF(Table15[[#This Row],[Scott Correction]]="",Table15[[#This Row],[customer_id]],_xlfn.XLOOKUP(Table15[[#This Row],[Scott Correction]],[1]!Table2[[#All],[name]],[1]!Table2[[#All],[id]],"",0,1))</f>
        <v/>
      </c>
      <c r="F631" s="11"/>
      <c r="G631" s="11" t="s">
        <v>5555</v>
      </c>
      <c r="H631" s="11"/>
      <c r="I631" s="11" t="s">
        <v>5556</v>
      </c>
      <c r="J631" s="11"/>
      <c r="K631" s="11"/>
      <c r="L631" s="13"/>
    </row>
    <row r="632" spans="1:12" ht="18" customHeight="1" x14ac:dyDescent="0.25">
      <c r="A632" s="12"/>
      <c r="B632" s="11" t="s">
        <v>3190</v>
      </c>
      <c r="C632" s="11" t="str">
        <f>IFERROR(VLOOKUP(B632,[1]customers!$A:$B,2,0),"")</f>
        <v/>
      </c>
      <c r="D632" s="11" t="s">
        <v>3191</v>
      </c>
      <c r="E632" s="11" t="str" cm="1">
        <f t="array" ref="E632">IF(Table15[[#This Row],[Scott Correction]]="",Table15[[#This Row],[customer_id]],_xlfn.XLOOKUP(Table15[[#This Row],[Scott Correction]],[1]!Table2[[#All],[name]],[1]!Table2[[#All],[id]],"",0,1))</f>
        <v/>
      </c>
      <c r="F632" s="11"/>
      <c r="G632" s="11" t="s">
        <v>5557</v>
      </c>
      <c r="H632" s="11"/>
      <c r="I632" s="11" t="s">
        <v>5558</v>
      </c>
      <c r="J632" s="11" t="s">
        <v>5559</v>
      </c>
      <c r="K632" s="11"/>
      <c r="L632" s="13"/>
    </row>
    <row r="633" spans="1:12" ht="18" customHeight="1" x14ac:dyDescent="0.25">
      <c r="A633" s="12"/>
      <c r="B633" s="11" t="s">
        <v>3190</v>
      </c>
      <c r="C633" s="11" t="str">
        <f>IFERROR(VLOOKUP(B633,[1]customers!$A:$B,2,0),"")</f>
        <v/>
      </c>
      <c r="D633" s="11" t="s">
        <v>3191</v>
      </c>
      <c r="E633" s="11" t="str" cm="1">
        <f t="array" ref="E633">IF(Table15[[#This Row],[Scott Correction]]="",Table15[[#This Row],[customer_id]],_xlfn.XLOOKUP(Table15[[#This Row],[Scott Correction]],[1]!Table2[[#All],[name]],[1]!Table2[[#All],[id]],"",0,1))</f>
        <v/>
      </c>
      <c r="F633" s="11"/>
      <c r="G633" s="11" t="s">
        <v>5560</v>
      </c>
      <c r="H633" s="11"/>
      <c r="I633" s="11" t="s">
        <v>5561</v>
      </c>
      <c r="J633" s="11"/>
      <c r="K633" s="11"/>
      <c r="L633" s="13"/>
    </row>
    <row r="634" spans="1:12" ht="18" customHeight="1" x14ac:dyDescent="0.25">
      <c r="A634" s="12"/>
      <c r="B634" s="11" t="s">
        <v>3190</v>
      </c>
      <c r="C634" s="11" t="str">
        <f>IFERROR(VLOOKUP(B634,[1]customers!$A:$B,2,0),"")</f>
        <v/>
      </c>
      <c r="D634" s="11" t="s">
        <v>3191</v>
      </c>
      <c r="E634" s="11" t="str" cm="1">
        <f t="array" ref="E634">IF(Table15[[#This Row],[Scott Correction]]="",Table15[[#This Row],[customer_id]],_xlfn.XLOOKUP(Table15[[#This Row],[Scott Correction]],[1]!Table2[[#All],[name]],[1]!Table2[[#All],[id]],"",0,1))</f>
        <v/>
      </c>
      <c r="F634" s="11"/>
      <c r="G634" s="11" t="s">
        <v>997</v>
      </c>
      <c r="H634" s="11"/>
      <c r="I634" s="11" t="s">
        <v>998</v>
      </c>
      <c r="J634" s="11" t="s">
        <v>999</v>
      </c>
      <c r="K634" s="11"/>
      <c r="L634" s="13"/>
    </row>
    <row r="635" spans="1:12" ht="18" customHeight="1" x14ac:dyDescent="0.25">
      <c r="A635" s="14"/>
      <c r="B635" s="15" t="s">
        <v>3190</v>
      </c>
      <c r="C635" s="15" t="str">
        <f>IFERROR(VLOOKUP(B635,[1]customers!$A:$B,2,0),"")</f>
        <v/>
      </c>
      <c r="D635" s="11" t="s">
        <v>3191</v>
      </c>
      <c r="E635" s="15" t="str" cm="1">
        <f t="array" ref="E635">IF(Table15[[#This Row],[Scott Correction]]="",Table15[[#This Row],[customer_id]],_xlfn.XLOOKUP(Table15[[#This Row],[Scott Correction]],[1]!Table2[[#All],[name]],[1]!Table2[[#All],[id]],"",0,1))</f>
        <v/>
      </c>
      <c r="F635" s="15"/>
      <c r="G635" s="15" t="s">
        <v>5562</v>
      </c>
      <c r="H635" s="15"/>
      <c r="I635" s="15" t="s">
        <v>2312</v>
      </c>
      <c r="J635" s="15"/>
      <c r="K635" s="15"/>
      <c r="L635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Good Contacts-acutal customers</vt:lpstr>
      <vt:lpstr>Prospects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Dodson</dc:creator>
  <cp:lastModifiedBy>Scott Dodson</cp:lastModifiedBy>
  <dcterms:created xsi:type="dcterms:W3CDTF">2026-04-07T20:44:47Z</dcterms:created>
  <dcterms:modified xsi:type="dcterms:W3CDTF">2026-04-07T20:47:01Z</dcterms:modified>
</cp:coreProperties>
</file>